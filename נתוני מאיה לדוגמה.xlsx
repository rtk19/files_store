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grinberg\Desktop\קרנות נאמנות\סיגמא\2026\2.26\5136767\"/>
    </mc:Choice>
  </mc:AlternateContent>
  <xr:revisionPtr revIDLastSave="0" documentId="8_{899BBDBB-0EB6-46E8-8AE9-8C72A3947A5C}" xr6:coauthVersionLast="47" xr6:coauthVersionMax="47" xr10:uidLastSave="{00000000-0000-0000-0000-000000000000}"/>
  <bookViews>
    <workbookView xWindow="28680" yWindow="-120" windowWidth="29040" windowHeight="15720" xr2:uid="{10A35243-D354-4BBA-B48E-A11314BC45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3" i="1" l="1"/>
  <c r="M13" i="1"/>
  <c r="C11" i="1"/>
  <c r="C12" i="1"/>
  <c r="C10" i="1"/>
</calcChain>
</file>

<file path=xl/sharedStrings.xml><?xml version="1.0" encoding="utf-8"?>
<sst xmlns="http://schemas.openxmlformats.org/spreadsheetml/2006/main" count="53" uniqueCount="48">
  <si>
    <t>מספר בורסה</t>
  </si>
  <si>
    <t>נתונים מתוך אתר "מאיה"</t>
  </si>
  <si>
    <t>שם קרן ארוך</t>
  </si>
  <si>
    <t>עציוני (4D) גמישה - קרן נאמנות</t>
  </si>
  <si>
    <t>מסלול המס:</t>
  </si>
  <si>
    <t>פטורה</t>
  </si>
  <si>
    <t>מנהל הקרן</t>
  </si>
  <si>
    <t>סיגמא</t>
  </si>
  <si>
    <t>נאמן הקרן</t>
  </si>
  <si>
    <t>מזרחי טפחות נאמנות</t>
  </si>
  <si>
    <t>דמי ניהול (%)</t>
  </si>
  <si>
    <t>דמי ניהול משתנים (%)</t>
  </si>
  <si>
    <t xml:space="preserve">דמי נאמנות (%) </t>
  </si>
  <si>
    <t>נתונים מתוך אתר "קבוצת דקל"</t>
  </si>
  <si>
    <t>מדד המחירים לצרכן לפי בסיס 2022</t>
  </si>
  <si>
    <t>תאריך מאזן</t>
  </si>
  <si>
    <t>שער ה-BFIX של הדולר</t>
  </si>
  <si>
    <t>נתונים מתוך בלומברג</t>
  </si>
  <si>
    <t>האם שונה שמה של הקרן במהלך שנת הדוח ?</t>
  </si>
  <si>
    <t>האם בוצע חילוף נאמן במהלך תקופת הדוח ?</t>
  </si>
  <si>
    <t>האם חל שינוי בשיעור דמי הניהול במהלך שנת הדוח ?</t>
  </si>
  <si>
    <t>האם חל שינוי בשיעור דמי הניהול המשתנים במהלך שנת הדוח ?</t>
  </si>
  <si>
    <t>האם חל שינוי בשיעור דמי הנאמנות במהלך שנת הדוח ?</t>
  </si>
  <si>
    <t>קוד דיווח לחיפוש</t>
  </si>
  <si>
    <t>ק120</t>
  </si>
  <si>
    <t>ק039</t>
  </si>
  <si>
    <t>ק052</t>
  </si>
  <si>
    <t>ק072</t>
  </si>
  <si>
    <t>ק152</t>
  </si>
  <si>
    <t>ק153</t>
  </si>
  <si>
    <t>נ012</t>
  </si>
  <si>
    <t>נ022</t>
  </si>
  <si>
    <t>האם הקרן מוזגה/פורקה במהלך התקופה</t>
  </si>
  <si>
    <t>ק099</t>
  </si>
  <si>
    <t>ק104</t>
  </si>
  <si>
    <t>ק105</t>
  </si>
  <si>
    <t>ק106</t>
  </si>
  <si>
    <t>האם חל שינוי בסוג הקרן ? מעבר מסגורה לפתוחה וההפך</t>
  </si>
  <si>
    <t>ק110</t>
  </si>
  <si>
    <t>ק111</t>
  </si>
  <si>
    <t>ממצא</t>
  </si>
  <si>
    <t>לא</t>
  </si>
  <si>
    <t>כן</t>
  </si>
  <si>
    <t>קישור לדיווח</t>
  </si>
  <si>
    <t>האם שונו במהלך התקופה ?</t>
  </si>
  <si>
    <t>תקופת החיפוש</t>
  </si>
  <si>
    <t xml:space="preserve">מ - </t>
  </si>
  <si>
    <t xml:space="preserve">עד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</si>
</sst>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6" x14ac:knownFonts="1">
    <font>
      <sz val="11"/>
      <color theme="1"/>
      <name val="Aptos Narrow"/>
      <family val="2"/>
      <charset val="177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9" fontId="1" fillId="0" borderId="0" xfId="0" applyNumberFormat="1" applyFont="1"/>
    <xf numFmtId="10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0" fontId="1" fillId="0" borderId="1" xfId="0" applyFont="1" applyBorder="1"/>
    <xf numFmtId="14" fontId="3" fillId="0" borderId="1" xfId="0" applyNumberFormat="1" applyFont="1" applyBorder="1"/>
    <xf numFmtId="164" fontId="4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14" fontId="3" fillId="0" borderId="0" xfId="0" applyNumberFormat="1" applyFont="1" applyBorder="1"/>
    <xf numFmtId="0" fontId="5" fillId="0" borderId="0" xfId="0" applyFont="1"/>
    <xf numFmtId="0" fontId="1" fillId="0" borderId="0" xfId="0" applyFont="1" applyBorder="1"/>
    <xf numFmtId="0" fontId="1" fillId="0" borderId="1" xfId="0" applyFont="1" applyBorder="1" applyAlignment="1"/>
    <xf numFmtId="0" fontId="1" fillId="2" borderId="0" xfId="0" applyFont="1" applyFill="1"/>
    <xf numFmtId="1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C152-1C51-4F60-B9A3-E8B1B29B0514}">
  <dimension ref="A1:N29"/>
  <sheetViews>
    <sheetView rightToLeft="1" tabSelected="1" workbookViewId="0">
      <selection activeCell="A23" sqref="A23:XFD25"/>
    </sheetView>
  </sheetViews>
  <sheetFormatPr defaultRowHeight="15" x14ac:dyDescent="0.25"/>
  <cols>
    <col min="1" max="1" width="19.125" style="1" bestFit="1" customWidth="1"/>
    <col min="2" max="2" width="9.375" style="1" bestFit="1" customWidth="1"/>
    <col min="3" max="3" width="10.5" style="1" customWidth="1"/>
    <col min="4" max="6" width="9.375" style="1" customWidth="1"/>
    <col min="7" max="7" width="4.125" style="1" customWidth="1"/>
    <col min="8" max="8" width="11.875" style="1" bestFit="1" customWidth="1"/>
    <col min="9" max="12" width="9" style="1"/>
    <col min="13" max="14" width="9.375" style="1" bestFit="1" customWidth="1"/>
    <col min="15" max="16384" width="9" style="1"/>
  </cols>
  <sheetData>
    <row r="1" spans="1:14" x14ac:dyDescent="0.25">
      <c r="A1" s="1" t="s">
        <v>0</v>
      </c>
      <c r="C1" s="1">
        <v>5136767</v>
      </c>
    </row>
    <row r="2" spans="1:14" x14ac:dyDescent="0.25">
      <c r="A2" s="1" t="s">
        <v>15</v>
      </c>
      <c r="C2" s="5">
        <v>46081</v>
      </c>
      <c r="D2" s="5"/>
      <c r="E2" s="5"/>
      <c r="F2" s="5"/>
      <c r="G2" s="5"/>
    </row>
    <row r="3" spans="1:14" x14ac:dyDescent="0.25">
      <c r="A3" s="2" t="s">
        <v>1</v>
      </c>
    </row>
    <row r="4" spans="1:14" x14ac:dyDescent="0.25">
      <c r="A4" s="1" t="s">
        <v>2</v>
      </c>
      <c r="B4" s="1" t="s">
        <v>3</v>
      </c>
    </row>
    <row r="5" spans="1:14" x14ac:dyDescent="0.25">
      <c r="A5" s="1" t="s">
        <v>4</v>
      </c>
      <c r="B5" s="1" t="s">
        <v>5</v>
      </c>
    </row>
    <row r="6" spans="1:14" x14ac:dyDescent="0.25">
      <c r="A6" s="1" t="s">
        <v>6</v>
      </c>
      <c r="B6" s="1" t="s">
        <v>7</v>
      </c>
    </row>
    <row r="7" spans="1:14" x14ac:dyDescent="0.25">
      <c r="A7" s="1" t="s">
        <v>8</v>
      </c>
      <c r="B7" s="1" t="s">
        <v>9</v>
      </c>
    </row>
    <row r="9" spans="1:14" x14ac:dyDescent="0.25">
      <c r="C9" s="14" t="s">
        <v>44</v>
      </c>
      <c r="D9" s="14"/>
    </row>
    <row r="10" spans="1:14" x14ac:dyDescent="0.25">
      <c r="A10" s="1" t="s">
        <v>10</v>
      </c>
      <c r="B10" s="4">
        <v>1.4999999999999999E-2</v>
      </c>
      <c r="C10" s="15" t="str">
        <f>E16</f>
        <v>לא</v>
      </c>
    </row>
    <row r="11" spans="1:14" x14ac:dyDescent="0.25">
      <c r="A11" s="1" t="s">
        <v>11</v>
      </c>
      <c r="B11" s="3">
        <v>0</v>
      </c>
      <c r="C11" s="15" t="str">
        <f t="shared" ref="C11:C12" si="0">E17</f>
        <v>לא</v>
      </c>
      <c r="M11" s="10" t="s">
        <v>45</v>
      </c>
      <c r="N11" s="10"/>
    </row>
    <row r="12" spans="1:14" x14ac:dyDescent="0.25">
      <c r="A12" s="1" t="s">
        <v>12</v>
      </c>
      <c r="B12" s="4">
        <v>4.0000000000000002E-4</v>
      </c>
      <c r="C12" s="15" t="str">
        <f t="shared" si="0"/>
        <v>לא</v>
      </c>
      <c r="M12" s="1" t="s">
        <v>46</v>
      </c>
      <c r="N12" s="1" t="s">
        <v>47</v>
      </c>
    </row>
    <row r="13" spans="1:14" x14ac:dyDescent="0.25">
      <c r="E13" s="7" t="s">
        <v>40</v>
      </c>
      <c r="F13" s="13"/>
      <c r="G13" s="13"/>
      <c r="H13" s="10" t="s">
        <v>23</v>
      </c>
      <c r="I13" s="10"/>
      <c r="J13" s="10"/>
      <c r="K13" s="10"/>
      <c r="M13" s="16">
        <f>C2-365</f>
        <v>45716</v>
      </c>
      <c r="N13" s="16">
        <f>C2+91</f>
        <v>46172</v>
      </c>
    </row>
    <row r="14" spans="1:14" x14ac:dyDescent="0.25">
      <c r="A14" s="1" t="s">
        <v>18</v>
      </c>
      <c r="E14" s="1" t="s">
        <v>41</v>
      </c>
      <c r="H14" s="1" t="s">
        <v>24</v>
      </c>
    </row>
    <row r="15" spans="1:14" x14ac:dyDescent="0.25">
      <c r="A15" s="1" t="s">
        <v>19</v>
      </c>
      <c r="E15" s="12" t="s">
        <v>42</v>
      </c>
      <c r="F15" s="12" t="s">
        <v>43</v>
      </c>
      <c r="G15" s="12"/>
      <c r="H15" s="1" t="s">
        <v>25</v>
      </c>
    </row>
    <row r="16" spans="1:14" x14ac:dyDescent="0.25">
      <c r="A16" s="1" t="s">
        <v>20</v>
      </c>
      <c r="E16" s="1" t="s">
        <v>41</v>
      </c>
      <c r="H16" s="1" t="s">
        <v>26</v>
      </c>
      <c r="I16" s="1" t="s">
        <v>27</v>
      </c>
    </row>
    <row r="17" spans="1:11" x14ac:dyDescent="0.25">
      <c r="A17" s="1" t="s">
        <v>21</v>
      </c>
      <c r="E17" s="1" t="s">
        <v>41</v>
      </c>
      <c r="H17" s="1" t="s">
        <v>28</v>
      </c>
      <c r="I17" s="1" t="s">
        <v>29</v>
      </c>
    </row>
    <row r="18" spans="1:11" x14ac:dyDescent="0.25">
      <c r="A18" s="1" t="s">
        <v>22</v>
      </c>
      <c r="E18" s="1" t="s">
        <v>41</v>
      </c>
      <c r="H18" s="1" t="s">
        <v>30</v>
      </c>
      <c r="I18" s="1" t="s">
        <v>31</v>
      </c>
    </row>
    <row r="19" spans="1:11" x14ac:dyDescent="0.25">
      <c r="A19" s="1" t="s">
        <v>32</v>
      </c>
      <c r="E19" s="1" t="s">
        <v>41</v>
      </c>
      <c r="H19" s="1" t="s">
        <v>33</v>
      </c>
      <c r="I19" s="1" t="s">
        <v>34</v>
      </c>
      <c r="J19" s="1" t="s">
        <v>35</v>
      </c>
      <c r="K19" s="1" t="s">
        <v>36</v>
      </c>
    </row>
    <row r="20" spans="1:11" x14ac:dyDescent="0.25">
      <c r="A20" s="1" t="s">
        <v>37</v>
      </c>
      <c r="B20" s="4"/>
      <c r="E20" s="1" t="s">
        <v>41</v>
      </c>
      <c r="H20" s="1" t="s">
        <v>38</v>
      </c>
      <c r="I20" s="1" t="s">
        <v>39</v>
      </c>
    </row>
    <row r="21" spans="1:11" x14ac:dyDescent="0.25">
      <c r="B21" s="4"/>
    </row>
    <row r="22" spans="1:11" x14ac:dyDescent="0.25">
      <c r="B22" s="4"/>
    </row>
    <row r="24" spans="1:11" x14ac:dyDescent="0.25">
      <c r="B24" s="8">
        <v>46081</v>
      </c>
      <c r="C24" s="8">
        <v>45716</v>
      </c>
      <c r="D24" s="11"/>
      <c r="E24" s="11"/>
      <c r="F24" s="11"/>
      <c r="G24" s="11"/>
    </row>
    <row r="25" spans="1:11" x14ac:dyDescent="0.25">
      <c r="A25" s="2" t="s">
        <v>13</v>
      </c>
    </row>
    <row r="26" spans="1:11" x14ac:dyDescent="0.25">
      <c r="A26" s="6" t="s">
        <v>14</v>
      </c>
    </row>
    <row r="27" spans="1:11" x14ac:dyDescent="0.25">
      <c r="B27" s="9">
        <v>111.16</v>
      </c>
      <c r="C27" s="9">
        <v>109.01</v>
      </c>
      <c r="D27" s="9"/>
      <c r="E27" s="9"/>
      <c r="F27" s="9"/>
      <c r="G27" s="9"/>
    </row>
    <row r="28" spans="1:11" x14ac:dyDescent="0.25">
      <c r="A28" s="2" t="s">
        <v>17</v>
      </c>
    </row>
    <row r="29" spans="1:11" x14ac:dyDescent="0.25">
      <c r="A29" s="1" t="s">
        <v>16</v>
      </c>
      <c r="B29" s="1">
        <v>3.1423000000000001</v>
      </c>
      <c r="C29" s="1">
        <v>3.5979999999999999</v>
      </c>
    </row>
  </sheetData>
  <mergeCells count="2">
    <mergeCell ref="H13:K13"/>
    <mergeCell ref="M11:N11"/>
  </mergeCells>
  <pageMargins left="0.7" right="0.7" top="0.75" bottom="0.75" header="0.3" footer="0.3"/>
  <customProperties>
    <customPr name="OrphanNamesChecke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KPMG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Grinberg, Shira</dc:creator>
  <cp:lastModifiedBy>Grinberg, Shira</cp:lastModifiedBy>
  <dcterms:created xsi:type="dcterms:W3CDTF">2026-06-24T07:28:16Z</dcterms:created>
  <dcterms:modified xsi:type="dcterms:W3CDTF">2026-06-24T07:44:56Z</dcterms:modified>
</cp:coreProperties>
</file>