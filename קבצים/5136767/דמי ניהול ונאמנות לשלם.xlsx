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och_caspi\2026\02-2026\קרנות נאמנות\סיגמא\5136767\"/>
    </mc:Choice>
  </mc:AlternateContent>
  <bookViews>
    <workbookView xWindow="0" yWindow="0" windowWidth="12945" windowHeight="1177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1" l="1"/>
  <c r="T10" i="1"/>
  <c r="M10" i="1"/>
</calcChain>
</file>

<file path=xl/sharedStrings.xml><?xml version="1.0" encoding="utf-8"?>
<sst xmlns="http://schemas.openxmlformats.org/spreadsheetml/2006/main" count="47" uniqueCount="28">
  <si>
    <t>מספר קרן</t>
  </si>
  <si>
    <t>בנק</t>
  </si>
  <si>
    <t>שם קרן</t>
  </si>
  <si>
    <t>מס' חשבון</t>
  </si>
  <si>
    <t>תאריך</t>
  </si>
  <si>
    <t>מטבע</t>
  </si>
  <si>
    <t>שווי קרן לחישוב דמי ניהול ונאמנות קבועים</t>
  </si>
  <si>
    <t>תאריך הישענות</t>
  </si>
  <si>
    <t>% דמי ניהול שנתי</t>
  </si>
  <si>
    <t>במטבע</t>
  </si>
  <si>
    <t>בש"ח</t>
  </si>
  <si>
    <t>דמי ניהול ששולמו במטבע</t>
  </si>
  <si>
    <t>דמי ניהול ששולמו בש"ח</t>
  </si>
  <si>
    <t>נותר לתשלום במטבע</t>
  </si>
  <si>
    <t>נותר לתשלום בש"ח</t>
  </si>
  <si>
    <t>% דמי נאמנות שנתי</t>
  </si>
  <si>
    <t>דמי נאמנות ששולמו במטבע</t>
  </si>
  <si>
    <t>דמי נאמנות ששולמו בש"ח</t>
  </si>
  <si>
    <t>סך דמי ניהול ונאמנות במטבע</t>
  </si>
  <si>
    <t>סך דמי ניהול ונאמנות בש"ח</t>
  </si>
  <si>
    <t>סך דמי ניהול ונאמנות ששולמו במטבע</t>
  </si>
  <si>
    <t>סך דמי ניהול ונאמנות ששולמו בש"ח</t>
  </si>
  <si>
    <t>סך דמי ניהול ונאמנות שנותרו לתשלום במטבע</t>
  </si>
  <si>
    <t>סך דמי ניהול ונאמנות שנותרו לתשלום בש"ח</t>
  </si>
  <si>
    <t>בינלאומי</t>
  </si>
  <si>
    <t>עציוני (4D) גמישה</t>
  </si>
  <si>
    <t>ILS</t>
  </si>
  <si>
    <t>סה"כ דמי ניהול ונאמנות לשלם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</si>
</sst>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0"/>
  </numFmts>
  <fonts count="3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horizontal="right"/>
    </xf>
  </cellStyleXfs>
  <cellXfs count="12">
    <xf numFmtId="0" fontId="0" fillId="0" borderId="0" xfId="0">
      <alignment horizontal="right"/>
    </xf>
    <xf numFmtId="0" fontId="0" fillId="0" borderId="0" xfId="0" applyNumberFormat="1" applyAlignment="1"/>
    <xf numFmtId="164" fontId="0" fillId="0" borderId="0" xfId="0" applyNumberFormat="1" applyAlignment="1"/>
    <xf numFmtId="4" fontId="0" fillId="0" borderId="0" xfId="0" applyNumberFormat="1" applyAlignment="1"/>
    <xf numFmtId="165" fontId="0" fillId="0" borderId="0" xfId="0" applyNumberFormat="1" applyAlignment="1"/>
    <xf numFmtId="0" fontId="1" fillId="0" borderId="1" xfId="0" quotePrefix="1" applyNumberFormat="1" applyFont="1" applyBorder="1" applyAlignment="1">
      <alignment horizontal="right"/>
    </xf>
    <xf numFmtId="164" fontId="1" fillId="0" borderId="1" xfId="0" quotePrefix="1" applyNumberFormat="1" applyFont="1" applyBorder="1" applyAlignment="1">
      <alignment horizontal="right"/>
    </xf>
    <xf numFmtId="4" fontId="1" fillId="0" borderId="1" xfId="0" quotePrefix="1" applyNumberFormat="1" applyFont="1" applyBorder="1" applyAlignment="1">
      <alignment horizontal="right"/>
    </xf>
    <xf numFmtId="165" fontId="1" fillId="0" borderId="1" xfId="0" quotePrefix="1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2" fillId="2" borderId="2" xfId="0" applyNumberFormat="1" applyFont="1" applyFill="1" applyBorder="1" applyAlignment="1"/>
    <xf numFmtId="4" fontId="2" fillId="0" borderId="0" xfId="0" applyNumberFormat="1" applyFont="1" applyAlignme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rightToLeft="1" tabSelected="1" topLeftCell="I1" workbookViewId="0">
      <selection activeCell="P33" sqref="P33"/>
    </sheetView>
  </sheetViews>
  <sheetFormatPr defaultRowHeight="14.25" x14ac:dyDescent="0.2"/>
  <cols>
    <col min="1" max="1" width="8" style="1" bestFit="1" customWidth="1"/>
    <col min="2" max="2" width="6.625" style="1" bestFit="1" customWidth="1"/>
    <col min="3" max="3" width="13.875" style="1" bestFit="1" customWidth="1"/>
    <col min="4" max="4" width="8.125" style="1" bestFit="1" customWidth="1"/>
    <col min="5" max="5" width="9.875" style="2" bestFit="1" customWidth="1"/>
    <col min="6" max="6" width="5.125" style="1" bestFit="1" customWidth="1"/>
    <col min="7" max="7" width="30.375" style="3" bestFit="1" customWidth="1"/>
    <col min="8" max="8" width="12" style="2" bestFit="1" customWidth="1"/>
    <col min="9" max="9" width="13.5" style="4" bestFit="1" customWidth="1"/>
    <col min="10" max="11" width="7.875" style="3" bestFit="1" customWidth="1"/>
    <col min="12" max="12" width="24" style="3" bestFit="1" customWidth="1"/>
    <col min="13" max="13" width="17.75" style="3" bestFit="1" customWidth="1"/>
    <col min="14" max="14" width="16.25" style="3" bestFit="1" customWidth="1"/>
    <col min="15" max="15" width="15" style="3" bestFit="1" customWidth="1"/>
    <col min="16" max="16" width="15.125" style="4" bestFit="1" customWidth="1"/>
    <col min="17" max="18" width="6.375" style="3" bestFit="1" customWidth="1"/>
    <col min="19" max="19" width="20.625" style="3" bestFit="1" customWidth="1"/>
    <col min="20" max="20" width="19.375" style="3" bestFit="1" customWidth="1"/>
    <col min="21" max="21" width="16.25" style="3" bestFit="1" customWidth="1"/>
    <col min="22" max="22" width="15" style="3" bestFit="1" customWidth="1"/>
    <col min="23" max="23" width="21.875" style="3" bestFit="1" customWidth="1"/>
    <col min="24" max="24" width="20.5" style="3" bestFit="1" customWidth="1"/>
    <col min="25" max="25" width="27.75" style="3" bestFit="1" customWidth="1"/>
    <col min="26" max="26" width="26.5" style="3" bestFit="1" customWidth="1"/>
    <col min="27" max="27" width="33.875" style="3" bestFit="1" customWidth="1"/>
    <col min="28" max="28" width="32.5" style="3" bestFit="1" customWidth="1"/>
  </cols>
  <sheetData>
    <row r="1" spans="1:28" s="9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7" t="s">
        <v>6</v>
      </c>
      <c r="H1" s="6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9</v>
      </c>
      <c r="R1" s="7" t="s">
        <v>10</v>
      </c>
      <c r="S1" s="7" t="s">
        <v>16</v>
      </c>
      <c r="T1" s="7" t="s">
        <v>17</v>
      </c>
      <c r="U1" s="7" t="s">
        <v>13</v>
      </c>
      <c r="V1" s="7" t="s">
        <v>14</v>
      </c>
      <c r="W1" s="7" t="s">
        <v>18</v>
      </c>
      <c r="X1" s="7" t="s">
        <v>19</v>
      </c>
      <c r="Y1" s="7" t="s">
        <v>20</v>
      </c>
      <c r="Z1" s="7" t="s">
        <v>21</v>
      </c>
      <c r="AA1" s="7" t="s">
        <v>22</v>
      </c>
      <c r="AB1" s="7" t="s">
        <v>23</v>
      </c>
    </row>
    <row r="2" spans="1:28" x14ac:dyDescent="0.2">
      <c r="A2" s="1">
        <v>5136767</v>
      </c>
      <c r="B2" s="1" t="s">
        <v>24</v>
      </c>
      <c r="C2" s="1" t="s">
        <v>25</v>
      </c>
      <c r="D2" s="1">
        <v>929951</v>
      </c>
      <c r="E2" s="2">
        <v>46076</v>
      </c>
      <c r="F2" s="1" t="s">
        <v>26</v>
      </c>
      <c r="G2" s="3">
        <v>128968750.81999999</v>
      </c>
      <c r="I2" s="4">
        <v>1.5</v>
      </c>
      <c r="J2" s="3">
        <v>5300.09</v>
      </c>
      <c r="K2" s="3">
        <v>5300.09</v>
      </c>
      <c r="L2" s="3">
        <v>5300.09</v>
      </c>
      <c r="M2" s="3">
        <v>5300.09</v>
      </c>
      <c r="N2" s="3">
        <v>0</v>
      </c>
      <c r="O2" s="3">
        <v>0</v>
      </c>
      <c r="P2" s="4">
        <v>0.04</v>
      </c>
      <c r="Q2" s="3">
        <v>141.34</v>
      </c>
      <c r="R2" s="3">
        <v>141.34</v>
      </c>
      <c r="S2" s="3">
        <v>141.34</v>
      </c>
      <c r="T2" s="3">
        <v>141.34</v>
      </c>
      <c r="U2" s="3">
        <v>0</v>
      </c>
      <c r="V2" s="3">
        <v>0</v>
      </c>
      <c r="W2" s="3">
        <v>5441.43</v>
      </c>
      <c r="X2" s="3">
        <v>5441.43</v>
      </c>
      <c r="Y2" s="3">
        <v>5441.43</v>
      </c>
      <c r="Z2" s="3">
        <v>5441.43</v>
      </c>
      <c r="AA2" s="3">
        <v>0</v>
      </c>
      <c r="AB2" s="3">
        <v>0</v>
      </c>
    </row>
    <row r="3" spans="1:28" x14ac:dyDescent="0.2">
      <c r="A3" s="1">
        <v>5136767</v>
      </c>
      <c r="B3" s="1" t="s">
        <v>24</v>
      </c>
      <c r="C3" s="1" t="s">
        <v>25</v>
      </c>
      <c r="D3" s="1">
        <v>929951</v>
      </c>
      <c r="E3" s="2">
        <v>46077</v>
      </c>
      <c r="F3" s="1" t="s">
        <v>26</v>
      </c>
      <c r="G3" s="3">
        <v>127553631.37</v>
      </c>
      <c r="I3" s="4">
        <v>1.5</v>
      </c>
      <c r="J3" s="3">
        <v>5241.93</v>
      </c>
      <c r="K3" s="3">
        <v>5241.93</v>
      </c>
      <c r="L3" s="3">
        <v>5241.93</v>
      </c>
      <c r="M3" s="3">
        <v>5241.93</v>
      </c>
      <c r="N3" s="3">
        <v>0</v>
      </c>
      <c r="O3" s="3">
        <v>0</v>
      </c>
      <c r="P3" s="4">
        <v>0.04</v>
      </c>
      <c r="Q3" s="3">
        <v>139.78</v>
      </c>
      <c r="R3" s="3">
        <v>139.78</v>
      </c>
      <c r="S3" s="3">
        <v>139.78</v>
      </c>
      <c r="T3" s="3">
        <v>139.78</v>
      </c>
      <c r="U3" s="3">
        <v>0</v>
      </c>
      <c r="V3" s="3">
        <v>0</v>
      </c>
      <c r="W3" s="3">
        <v>5381.71</v>
      </c>
      <c r="X3" s="3">
        <v>5381.71</v>
      </c>
      <c r="Y3" s="3">
        <v>5381.71</v>
      </c>
      <c r="Z3" s="3">
        <v>5381.71</v>
      </c>
      <c r="AA3" s="3">
        <v>0</v>
      </c>
      <c r="AB3" s="3">
        <v>0</v>
      </c>
    </row>
    <row r="4" spans="1:28" x14ac:dyDescent="0.2">
      <c r="A4" s="1">
        <v>5136767</v>
      </c>
      <c r="B4" s="1" t="s">
        <v>24</v>
      </c>
      <c r="C4" s="1" t="s">
        <v>25</v>
      </c>
      <c r="D4" s="1">
        <v>929951</v>
      </c>
      <c r="E4" s="2">
        <v>46078</v>
      </c>
      <c r="F4" s="1" t="s">
        <v>26</v>
      </c>
      <c r="G4" s="3">
        <v>126873501.86</v>
      </c>
      <c r="I4" s="4">
        <v>1.5</v>
      </c>
      <c r="J4" s="3">
        <v>5213.9799999999996</v>
      </c>
      <c r="K4" s="3">
        <v>5213.9799999999996</v>
      </c>
      <c r="L4" s="3">
        <v>5213.9799999999996</v>
      </c>
      <c r="M4" s="3">
        <v>5213.9799999999996</v>
      </c>
      <c r="N4" s="3">
        <v>0</v>
      </c>
      <c r="O4" s="3">
        <v>0</v>
      </c>
      <c r="P4" s="4">
        <v>0.04</v>
      </c>
      <c r="Q4" s="3">
        <v>139.04</v>
      </c>
      <c r="R4" s="3">
        <v>139.04</v>
      </c>
      <c r="S4" s="3">
        <v>139.04</v>
      </c>
      <c r="T4" s="3">
        <v>139.04</v>
      </c>
      <c r="U4" s="3">
        <v>0</v>
      </c>
      <c r="V4" s="3">
        <v>0</v>
      </c>
      <c r="W4" s="3">
        <v>5353.02</v>
      </c>
      <c r="X4" s="3">
        <v>5353.02</v>
      </c>
      <c r="Y4" s="3">
        <v>5353.02</v>
      </c>
      <c r="Z4" s="3">
        <v>5353.02</v>
      </c>
      <c r="AA4" s="3">
        <v>0</v>
      </c>
      <c r="AB4" s="3">
        <v>0</v>
      </c>
    </row>
    <row r="5" spans="1:28" x14ac:dyDescent="0.2">
      <c r="A5" s="1">
        <v>5136767</v>
      </c>
      <c r="B5" s="1" t="s">
        <v>24</v>
      </c>
      <c r="C5" s="1" t="s">
        <v>25</v>
      </c>
      <c r="D5" s="1">
        <v>929951</v>
      </c>
      <c r="E5" s="2">
        <v>46079</v>
      </c>
      <c r="F5" s="1" t="s">
        <v>26</v>
      </c>
      <c r="G5" s="3">
        <v>124841778.62</v>
      </c>
      <c r="I5" s="4">
        <v>1.5</v>
      </c>
      <c r="J5" s="3">
        <v>5130.4799999999996</v>
      </c>
      <c r="K5" s="3">
        <v>5130.4799999999996</v>
      </c>
      <c r="L5" s="3">
        <v>5130.4799999999996</v>
      </c>
      <c r="M5" s="3">
        <v>5130.4799999999996</v>
      </c>
      <c r="N5" s="3">
        <v>0</v>
      </c>
      <c r="O5" s="3">
        <v>0</v>
      </c>
      <c r="P5" s="4">
        <v>0.04</v>
      </c>
      <c r="Q5" s="3">
        <v>136.81</v>
      </c>
      <c r="R5" s="3">
        <v>136.81</v>
      </c>
      <c r="S5" s="3">
        <v>136.81</v>
      </c>
      <c r="T5" s="3">
        <v>136.81</v>
      </c>
      <c r="U5" s="3">
        <v>0</v>
      </c>
      <c r="V5" s="3">
        <v>0</v>
      </c>
      <c r="W5" s="3">
        <v>5267.29</v>
      </c>
      <c r="X5" s="3">
        <v>5267.29</v>
      </c>
      <c r="Y5" s="3">
        <v>5267.29</v>
      </c>
      <c r="Z5" s="3">
        <v>5267.29</v>
      </c>
      <c r="AA5" s="3">
        <v>0</v>
      </c>
      <c r="AB5" s="3">
        <v>0</v>
      </c>
    </row>
    <row r="6" spans="1:28" x14ac:dyDescent="0.2">
      <c r="A6" s="1">
        <v>5136767</v>
      </c>
      <c r="B6" s="1" t="s">
        <v>24</v>
      </c>
      <c r="C6" s="1" t="s">
        <v>25</v>
      </c>
      <c r="D6" s="1">
        <v>929951</v>
      </c>
      <c r="E6" s="2">
        <v>46080</v>
      </c>
      <c r="F6" s="1" t="s">
        <v>26</v>
      </c>
      <c r="G6" s="3">
        <v>123929112.5335</v>
      </c>
      <c r="H6" s="2">
        <v>46079</v>
      </c>
      <c r="I6" s="4">
        <v>1.5</v>
      </c>
      <c r="J6" s="3">
        <v>5092.9799999999996</v>
      </c>
      <c r="K6" s="3">
        <v>5092.9799999999996</v>
      </c>
      <c r="L6" s="3">
        <v>5092.9799999999996</v>
      </c>
      <c r="M6" s="3">
        <v>5092.9799999999996</v>
      </c>
      <c r="N6" s="3">
        <v>0</v>
      </c>
      <c r="O6" s="3">
        <v>0</v>
      </c>
      <c r="P6" s="4">
        <v>0.04</v>
      </c>
      <c r="Q6" s="3">
        <v>135.81</v>
      </c>
      <c r="R6" s="3">
        <v>135.81</v>
      </c>
      <c r="S6" s="3">
        <v>135.81</v>
      </c>
      <c r="T6" s="3">
        <v>135.81</v>
      </c>
      <c r="U6" s="3">
        <v>0</v>
      </c>
      <c r="V6" s="3">
        <v>0</v>
      </c>
      <c r="W6" s="3">
        <v>5228.79</v>
      </c>
      <c r="X6" s="3">
        <v>5228.79</v>
      </c>
      <c r="Y6" s="3">
        <v>5228.79</v>
      </c>
      <c r="Z6" s="3">
        <v>5228.79</v>
      </c>
      <c r="AA6" s="3">
        <v>0</v>
      </c>
      <c r="AB6" s="3">
        <v>0</v>
      </c>
    </row>
    <row r="7" spans="1:28" x14ac:dyDescent="0.2">
      <c r="A7" s="1">
        <v>5136767</v>
      </c>
      <c r="B7" s="1" t="s">
        <v>24</v>
      </c>
      <c r="C7" s="1" t="s">
        <v>25</v>
      </c>
      <c r="D7" s="1">
        <v>929951</v>
      </c>
      <c r="E7" s="2">
        <v>46081</v>
      </c>
      <c r="F7" s="1" t="s">
        <v>26</v>
      </c>
      <c r="G7" s="3">
        <v>123929112.5335</v>
      </c>
      <c r="H7" s="2">
        <v>46079</v>
      </c>
      <c r="I7" s="4">
        <v>1.5</v>
      </c>
      <c r="J7" s="3">
        <v>5092.9799999999996</v>
      </c>
      <c r="K7" s="3">
        <v>5092.9799999999996</v>
      </c>
      <c r="L7" s="3">
        <v>5092.9799999999996</v>
      </c>
      <c r="M7" s="3">
        <v>5092.9799999999996</v>
      </c>
      <c r="N7" s="3">
        <v>0</v>
      </c>
      <c r="O7" s="3">
        <v>0</v>
      </c>
      <c r="P7" s="4">
        <v>0.04</v>
      </c>
      <c r="Q7" s="3">
        <v>135.81</v>
      </c>
      <c r="R7" s="3">
        <v>135.81</v>
      </c>
      <c r="S7" s="3">
        <v>135.81</v>
      </c>
      <c r="T7" s="3">
        <v>135.81</v>
      </c>
      <c r="U7" s="3">
        <v>0</v>
      </c>
      <c r="V7" s="3">
        <v>0</v>
      </c>
      <c r="W7" s="3">
        <v>5228.79</v>
      </c>
      <c r="X7" s="3">
        <v>5228.79</v>
      </c>
      <c r="Y7" s="3">
        <v>5228.79</v>
      </c>
      <c r="Z7" s="3">
        <v>5228.79</v>
      </c>
      <c r="AA7" s="3">
        <v>0</v>
      </c>
      <c r="AB7" s="3">
        <v>0</v>
      </c>
    </row>
    <row r="10" spans="1:28" ht="15" x14ac:dyDescent="0.25">
      <c r="M10" s="11">
        <f>SUM(M2:M9)</f>
        <v>31072.44</v>
      </c>
      <c r="T10" s="11">
        <f>SUM(T2:T9)</f>
        <v>828.58999999999992</v>
      </c>
    </row>
    <row r="12" spans="1:28" ht="15.75" thickBot="1" x14ac:dyDescent="0.3">
      <c r="L12" s="10" t="s">
        <v>27</v>
      </c>
      <c r="M12" s="10">
        <f>M10+T10</f>
        <v>31901.03</v>
      </c>
    </row>
    <row r="13" spans="1:28" ht="15" thickTop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2026-03-26T11:08:05Z</dcterms:created>
  <dcterms:modified xsi:type="dcterms:W3CDTF">2026-03-26T11:12:03Z</dcterms:modified>
</cp:coreProperties>
</file>