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och_caspi\2026\02-2026\קרנות נאמנות\סיגמא\5136767\"/>
    </mc:Choice>
  </mc:AlternateContent>
  <bookViews>
    <workbookView xWindow="0" yWindow="0" windowWidth="12945" windowHeight="11775"/>
  </bookViews>
  <sheets>
    <sheet name="גיליון1" sheetId="1" r:id="rId1"/>
    <sheet name="גיליון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D15" i="1"/>
  <c r="C15" i="1"/>
  <c r="B15" i="1"/>
</calcChain>
</file>

<file path=xl/sharedStrings.xml><?xml version="1.0" encoding="utf-8"?>
<sst xmlns="http://schemas.openxmlformats.org/spreadsheetml/2006/main" count="14" uniqueCount="11">
  <si>
    <t>חודש</t>
  </si>
  <si>
    <t>יחידות שהונפקו</t>
  </si>
  <si>
    <t>תמורת יחידות</t>
  </si>
  <si>
    <t>יחידות שנפדו</t>
  </si>
  <si>
    <t>שער רכישה</t>
  </si>
  <si>
    <t>מחיר פדיון</t>
  </si>
  <si>
    <t>שנה</t>
  </si>
  <si>
    <t>סה"כ יחידות לסוף חודש</t>
  </si>
  <si>
    <t>2.00 סה"כ</t>
  </si>
  <si>
    <t xml:space="preserve"> סה"כ 02/2026-03/2025</t>
  </si>
  <si>
    <t>פרק ה: יחידות שהונפקו ושנפדו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</si>
</sst>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₪\ #,##0.00"/>
  </numFmts>
  <fonts count="4" x14ac:knownFonts="1"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3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0" borderId="1" xfId="0" quotePrefix="1" applyFont="1" applyBorder="1"/>
    <xf numFmtId="0" fontId="1" fillId="0" borderId="1" xfId="0" applyFont="1" applyBorder="1"/>
    <xf numFmtId="17" fontId="2" fillId="0" borderId="2" xfId="0" applyNumberFormat="1" applyFont="1" applyBorder="1"/>
    <xf numFmtId="4" fontId="2" fillId="0" borderId="2" xfId="0" applyNumberFormat="1" applyFont="1" applyBorder="1"/>
    <xf numFmtId="164" fontId="2" fillId="0" borderId="2" xfId="0" applyNumberFormat="1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rightToLeft="1" tabSelected="1" workbookViewId="0">
      <selection activeCell="A16" sqref="A16:XFD30"/>
    </sheetView>
  </sheetViews>
  <sheetFormatPr defaultRowHeight="14.25" outlineLevelRow="2" x14ac:dyDescent="0.2"/>
  <cols>
    <col min="1" max="1" width="19.75" bestFit="1" customWidth="1"/>
    <col min="2" max="2" width="13.5" bestFit="1" customWidth="1"/>
    <col min="3" max="3" width="15.625" bestFit="1" customWidth="1"/>
    <col min="4" max="4" width="12.375" bestFit="1" customWidth="1"/>
    <col min="5" max="5" width="15.625" bestFit="1" customWidth="1"/>
    <col min="6" max="6" width="9.25" bestFit="1" customWidth="1"/>
    <col min="7" max="7" width="8.375" bestFit="1" customWidth="1"/>
    <col min="8" max="8" width="8.875" hidden="1" customWidth="1"/>
    <col min="9" max="9" width="18.125" bestFit="1" customWidth="1"/>
  </cols>
  <sheetData>
    <row r="1" spans="1:9" ht="16.5" x14ac:dyDescent="0.25">
      <c r="A1" s="9" t="s">
        <v>10</v>
      </c>
      <c r="B1" s="9"/>
      <c r="C1" s="9"/>
      <c r="D1" s="9"/>
      <c r="E1" s="9"/>
      <c r="F1" s="9"/>
      <c r="G1" s="9"/>
      <c r="H1" s="9"/>
      <c r="I1" s="9"/>
    </row>
    <row r="2" spans="1:9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2</v>
      </c>
      <c r="F2" s="4" t="s">
        <v>4</v>
      </c>
      <c r="G2" s="4" t="s">
        <v>5</v>
      </c>
      <c r="H2" s="5" t="s">
        <v>6</v>
      </c>
      <c r="I2" s="5" t="s">
        <v>7</v>
      </c>
    </row>
    <row r="3" spans="1:9" outlineLevel="2" x14ac:dyDescent="0.2">
      <c r="A3" s="1">
        <v>45717</v>
      </c>
      <c r="B3" s="2">
        <v>5569732</v>
      </c>
      <c r="C3" s="3">
        <v>10618862.289999999</v>
      </c>
      <c r="D3" s="2">
        <v>9984847</v>
      </c>
      <c r="E3" s="3">
        <v>18904218.02</v>
      </c>
      <c r="F3" s="3">
        <v>185.43</v>
      </c>
      <c r="G3" s="3">
        <v>185.43</v>
      </c>
      <c r="H3" s="2">
        <v>2</v>
      </c>
      <c r="I3" s="2">
        <v>10107227</v>
      </c>
    </row>
    <row r="4" spans="1:9" outlineLevel="2" x14ac:dyDescent="0.2">
      <c r="A4" s="1">
        <v>45748</v>
      </c>
      <c r="B4" s="2">
        <v>4516741</v>
      </c>
      <c r="C4" s="3">
        <v>8473855.5899999999</v>
      </c>
      <c r="D4" s="2">
        <v>6212319</v>
      </c>
      <c r="E4" s="3">
        <v>11478386.640000001</v>
      </c>
      <c r="F4" s="3">
        <v>189.75</v>
      </c>
      <c r="G4" s="3">
        <v>189.75</v>
      </c>
      <c r="H4" s="2">
        <v>2</v>
      </c>
      <c r="I4" s="2">
        <v>10884706</v>
      </c>
    </row>
    <row r="5" spans="1:9" outlineLevel="2" x14ac:dyDescent="0.2">
      <c r="A5" s="1">
        <v>45778</v>
      </c>
      <c r="B5" s="2">
        <v>3826320</v>
      </c>
      <c r="C5" s="3">
        <v>7473086.9100000001</v>
      </c>
      <c r="D5" s="2">
        <v>6064628</v>
      </c>
      <c r="E5" s="3">
        <v>11828025.83</v>
      </c>
      <c r="F5" s="3">
        <v>196.27</v>
      </c>
      <c r="G5" s="3">
        <v>196.27</v>
      </c>
      <c r="H5" s="2">
        <v>2</v>
      </c>
      <c r="I5" s="2">
        <v>11662185</v>
      </c>
    </row>
    <row r="6" spans="1:9" outlineLevel="2" x14ac:dyDescent="0.2">
      <c r="A6" s="1">
        <v>45809</v>
      </c>
      <c r="B6" s="2">
        <v>4861129</v>
      </c>
      <c r="C6" s="3">
        <v>9750336.7899999991</v>
      </c>
      <c r="D6" s="2">
        <v>6525210</v>
      </c>
      <c r="E6" s="3">
        <v>12966680.619999999</v>
      </c>
      <c r="F6" s="3">
        <v>208.98</v>
      </c>
      <c r="G6" s="3">
        <v>208.98</v>
      </c>
      <c r="H6" s="2">
        <v>2</v>
      </c>
      <c r="I6" s="2">
        <v>12439664</v>
      </c>
    </row>
    <row r="7" spans="1:9" outlineLevel="2" x14ac:dyDescent="0.2">
      <c r="A7" s="1">
        <v>45839</v>
      </c>
      <c r="B7" s="2">
        <v>4873036</v>
      </c>
      <c r="C7" s="3">
        <v>10164262.07</v>
      </c>
      <c r="D7" s="2">
        <v>4867882</v>
      </c>
      <c r="E7" s="3">
        <v>10153195.51</v>
      </c>
      <c r="F7" s="3">
        <v>207.66</v>
      </c>
      <c r="G7" s="3">
        <v>207.66</v>
      </c>
      <c r="H7" s="2">
        <v>2</v>
      </c>
      <c r="I7" s="2">
        <v>13217143</v>
      </c>
    </row>
    <row r="8" spans="1:9" outlineLevel="2" x14ac:dyDescent="0.2">
      <c r="A8" s="1">
        <v>45870</v>
      </c>
      <c r="B8" s="2">
        <v>2380497</v>
      </c>
      <c r="C8" s="3">
        <v>4934853.0599999996</v>
      </c>
      <c r="D8" s="2">
        <v>2872444</v>
      </c>
      <c r="E8" s="3">
        <v>5943522.2000000002</v>
      </c>
      <c r="F8" s="3">
        <v>209.32</v>
      </c>
      <c r="G8" s="3">
        <v>209.32</v>
      </c>
      <c r="H8" s="2">
        <v>2</v>
      </c>
      <c r="I8" s="2">
        <v>13994622</v>
      </c>
    </row>
    <row r="9" spans="1:9" outlineLevel="2" x14ac:dyDescent="0.2">
      <c r="A9" s="1">
        <v>45901</v>
      </c>
      <c r="B9" s="2">
        <v>1567927</v>
      </c>
      <c r="C9" s="3">
        <v>3254748.99</v>
      </c>
      <c r="D9" s="2">
        <v>6137294</v>
      </c>
      <c r="E9" s="3">
        <v>12702610.619999999</v>
      </c>
      <c r="F9" s="3">
        <v>209.49</v>
      </c>
      <c r="G9" s="3">
        <v>209.49</v>
      </c>
      <c r="H9" s="2">
        <v>2</v>
      </c>
      <c r="I9" s="2">
        <v>14772101</v>
      </c>
    </row>
    <row r="10" spans="1:9" outlineLevel="2" x14ac:dyDescent="0.2">
      <c r="A10" s="1">
        <v>45931</v>
      </c>
      <c r="B10" s="2">
        <v>1883844</v>
      </c>
      <c r="C10" s="3">
        <v>3961154.2</v>
      </c>
      <c r="D10" s="2">
        <v>3549232</v>
      </c>
      <c r="E10" s="3">
        <v>7464215.8700000001</v>
      </c>
      <c r="F10" s="3">
        <v>211.24</v>
      </c>
      <c r="G10" s="3">
        <v>211.24</v>
      </c>
      <c r="H10" s="2">
        <v>2</v>
      </c>
      <c r="I10" s="2">
        <v>15549580</v>
      </c>
    </row>
    <row r="11" spans="1:9" outlineLevel="2" x14ac:dyDescent="0.2">
      <c r="A11" s="1">
        <v>45962</v>
      </c>
      <c r="B11" s="2">
        <v>955339</v>
      </c>
      <c r="C11" s="3">
        <v>2045220.39</v>
      </c>
      <c r="D11" s="2">
        <v>3558358</v>
      </c>
      <c r="E11" s="3">
        <v>7593090.2000000002</v>
      </c>
      <c r="F11" s="3">
        <v>215.52</v>
      </c>
      <c r="G11" s="3">
        <v>215.52</v>
      </c>
      <c r="H11" s="2">
        <v>2</v>
      </c>
      <c r="I11" s="2">
        <v>16327059</v>
      </c>
    </row>
    <row r="12" spans="1:9" outlineLevel="2" x14ac:dyDescent="0.2">
      <c r="A12" s="1">
        <v>45992</v>
      </c>
      <c r="B12" s="2">
        <v>2547024</v>
      </c>
      <c r="C12" s="3">
        <v>5584160.6299999999</v>
      </c>
      <c r="D12" s="2">
        <v>3611344</v>
      </c>
      <c r="E12" s="3">
        <v>7910489.8300000001</v>
      </c>
      <c r="F12" s="3">
        <v>222.87</v>
      </c>
      <c r="G12" s="3">
        <v>222.87</v>
      </c>
      <c r="H12" s="2">
        <v>2</v>
      </c>
      <c r="I12" s="2">
        <v>17104538</v>
      </c>
    </row>
    <row r="13" spans="1:9" outlineLevel="2" x14ac:dyDescent="0.2">
      <c r="A13" s="1">
        <v>46023</v>
      </c>
      <c r="B13" s="2">
        <v>2234176</v>
      </c>
      <c r="C13" s="3">
        <v>5132035.76</v>
      </c>
      <c r="D13" s="2">
        <v>2982267</v>
      </c>
      <c r="E13" s="3">
        <v>6885875.7300000004</v>
      </c>
      <c r="F13" s="3">
        <v>231.75</v>
      </c>
      <c r="G13" s="3">
        <v>231.75</v>
      </c>
      <c r="H13" s="2">
        <v>2</v>
      </c>
      <c r="I13" s="2">
        <v>17882017</v>
      </c>
    </row>
    <row r="14" spans="1:9" outlineLevel="2" x14ac:dyDescent="0.2">
      <c r="A14" s="1">
        <v>46054</v>
      </c>
      <c r="B14" s="2">
        <v>982844</v>
      </c>
      <c r="C14" s="3">
        <v>2296665.6</v>
      </c>
      <c r="D14" s="2">
        <v>3710348</v>
      </c>
      <c r="E14" s="3">
        <v>8636852.2300000004</v>
      </c>
      <c r="F14" s="3">
        <v>229.95</v>
      </c>
      <c r="G14" s="3">
        <v>229.95</v>
      </c>
      <c r="H14" s="2">
        <v>2</v>
      </c>
      <c r="I14" s="2">
        <v>18659496</v>
      </c>
    </row>
    <row r="15" spans="1:9" ht="15" outlineLevel="1" x14ac:dyDescent="0.25">
      <c r="A15" s="6" t="s">
        <v>9</v>
      </c>
      <c r="B15" s="7">
        <f>SUBTOTAL(9,B3:B14)</f>
        <v>36198609</v>
      </c>
      <c r="C15" s="8">
        <f>SUBTOTAL(9,C3:C14)</f>
        <v>73689242.280000001</v>
      </c>
      <c r="D15" s="7">
        <f>SUBTOTAL(9,D3:D14)</f>
        <v>60076173</v>
      </c>
      <c r="E15" s="8">
        <f>SUBTOTAL(9,E3:E14)</f>
        <v>122467163.30000001</v>
      </c>
      <c r="F15" s="8"/>
      <c r="G15" s="8"/>
      <c r="H15" s="7" t="s">
        <v>8</v>
      </c>
      <c r="I15" s="7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rightToLeft="1" workbookViewId="0"/>
  </sheetViews>
  <sheetFormatPr defaultRowHeight="14.25" x14ac:dyDescent="0.2"/>
  <cols>
    <col min="1" max="1" width="10.125" bestFit="1" customWidth="1"/>
    <col min="2" max="2" width="11.625" bestFit="1" customWidth="1"/>
  </cols>
  <sheetData>
    <row r="1" spans="1:2" x14ac:dyDescent="0.2">
      <c r="A1" s="5" t="s">
        <v>3</v>
      </c>
      <c r="B1" s="5" t="s">
        <v>1</v>
      </c>
    </row>
    <row r="2" spans="1:2" x14ac:dyDescent="0.2">
      <c r="A2">
        <v>0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2026-03-26T12:06:10Z</dcterms:created>
  <dcterms:modified xsi:type="dcterms:W3CDTF">2026-03-26T12:07:07Z</dcterms:modified>
</cp:coreProperties>
</file>