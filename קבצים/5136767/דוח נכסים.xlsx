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pmgus-my.sharepoint.com/personal/refaelbar_kpmg_com/Documents/AI Management/Projects/קרנות/5136767 (2)/"/>
    </mc:Choice>
  </mc:AlternateContent>
  <xr:revisionPtr revIDLastSave="8" documentId="11_40641EAE5BC26B91486E6CAF035360C658B4FDEB" xr6:coauthVersionLast="47" xr6:coauthVersionMax="47" xr10:uidLastSave="{974A17E3-E755-43EF-BF87-5889399F5139}"/>
  <bookViews>
    <workbookView minimized="1" xWindow="675" yWindow="750" windowWidth="19140" windowHeight="9555" xr2:uid="{00000000-000D-0000-FFFF-FFFF00000000}"/>
  </bookViews>
  <sheets>
    <sheet name=" עציוני (4D) גמישה" sheetId="1" r:id="rId1"/>
    <sheet name="גיליון_2" sheetId="2" r:id="rId2"/>
    <sheet name="גיליון_3" sheetId="3" r:id="rId3"/>
    <sheet name="ריכוז מצב השקעות" sheetId="4" r:id="rId4"/>
    <sheet name="סיכום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O5" i="5"/>
  <c r="P5" i="5"/>
  <c r="N8" i="5"/>
  <c r="O8" i="5"/>
  <c r="P8" i="5"/>
  <c r="N9" i="5"/>
  <c r="O9" i="5"/>
  <c r="O274" i="5" s="1"/>
  <c r="O280" i="5" s="1"/>
  <c r="P9" i="5"/>
  <c r="N15" i="5"/>
  <c r="O15" i="5"/>
  <c r="P15" i="5"/>
  <c r="N18" i="5"/>
  <c r="O18" i="5"/>
  <c r="P18" i="5"/>
  <c r="N78" i="5"/>
  <c r="O78" i="5"/>
  <c r="P78" i="5"/>
  <c r="N96" i="5"/>
  <c r="O96" i="5"/>
  <c r="P96" i="5"/>
  <c r="N104" i="5"/>
  <c r="O104" i="5"/>
  <c r="P104" i="5"/>
  <c r="N105" i="5"/>
  <c r="O105" i="5"/>
  <c r="P105" i="5"/>
  <c r="N111" i="5"/>
  <c r="O111" i="5"/>
  <c r="P111" i="5"/>
  <c r="N114" i="5"/>
  <c r="O114" i="5"/>
  <c r="P114" i="5"/>
  <c r="N121" i="5"/>
  <c r="O121" i="5"/>
  <c r="P121" i="5"/>
  <c r="N125" i="5"/>
  <c r="O125" i="5"/>
  <c r="P125" i="5"/>
  <c r="N129" i="5"/>
  <c r="O129" i="5"/>
  <c r="P129" i="5"/>
  <c r="N134" i="5"/>
  <c r="O134" i="5"/>
  <c r="P134" i="5"/>
  <c r="N141" i="5"/>
  <c r="O141" i="5"/>
  <c r="P141" i="5"/>
  <c r="N144" i="5"/>
  <c r="O144" i="5"/>
  <c r="P144" i="5"/>
  <c r="N150" i="5"/>
  <c r="O150" i="5"/>
  <c r="P150" i="5"/>
  <c r="N155" i="5"/>
  <c r="O155" i="5"/>
  <c r="P155" i="5"/>
  <c r="N162" i="5"/>
  <c r="O162" i="5"/>
  <c r="P162" i="5"/>
  <c r="N168" i="5"/>
  <c r="O168" i="5"/>
  <c r="P168" i="5"/>
  <c r="N171" i="5"/>
  <c r="O171" i="5"/>
  <c r="P171" i="5"/>
  <c r="N174" i="5"/>
  <c r="O174" i="5"/>
  <c r="P174" i="5"/>
  <c r="N179" i="5"/>
  <c r="O179" i="5"/>
  <c r="P179" i="5"/>
  <c r="N184" i="5"/>
  <c r="O184" i="5"/>
  <c r="P184" i="5"/>
  <c r="N189" i="5"/>
  <c r="O189" i="5"/>
  <c r="P189" i="5"/>
  <c r="N193" i="5"/>
  <c r="O193" i="5"/>
  <c r="P193" i="5"/>
  <c r="N196" i="5"/>
  <c r="O196" i="5"/>
  <c r="P196" i="5"/>
  <c r="N199" i="5"/>
  <c r="O199" i="5"/>
  <c r="P199" i="5"/>
  <c r="N202" i="5"/>
  <c r="O202" i="5"/>
  <c r="P202" i="5"/>
  <c r="N211" i="5"/>
  <c r="O211" i="5"/>
  <c r="P211" i="5"/>
  <c r="N218" i="5"/>
  <c r="O218" i="5"/>
  <c r="P218" i="5"/>
  <c r="N225" i="5"/>
  <c r="O225" i="5"/>
  <c r="P225" i="5"/>
  <c r="N230" i="5"/>
  <c r="O230" i="5"/>
  <c r="P230" i="5"/>
  <c r="N236" i="5"/>
  <c r="O236" i="5"/>
  <c r="P236" i="5"/>
  <c r="N240" i="5"/>
  <c r="O240" i="5"/>
  <c r="P240" i="5"/>
  <c r="N241" i="5"/>
  <c r="O241" i="5"/>
  <c r="P241" i="5"/>
  <c r="N245" i="5"/>
  <c r="O245" i="5"/>
  <c r="P245" i="5"/>
  <c r="N248" i="5"/>
  <c r="O248" i="5"/>
  <c r="P248" i="5"/>
  <c r="N251" i="5"/>
  <c r="O251" i="5"/>
  <c r="P251" i="5"/>
  <c r="N254" i="5"/>
  <c r="O254" i="5"/>
  <c r="P254" i="5"/>
  <c r="N257" i="5"/>
  <c r="O257" i="5"/>
  <c r="P257" i="5"/>
  <c r="N261" i="5"/>
  <c r="O261" i="5"/>
  <c r="P261" i="5"/>
  <c r="N262" i="5"/>
  <c r="O262" i="5"/>
  <c r="P262" i="5"/>
  <c r="N266" i="5"/>
  <c r="O266" i="5"/>
  <c r="P266" i="5"/>
  <c r="N267" i="5"/>
  <c r="O267" i="5"/>
  <c r="P267" i="5"/>
  <c r="N271" i="5"/>
  <c r="O271" i="5"/>
  <c r="P271" i="5"/>
  <c r="N272" i="5"/>
  <c r="O272" i="5"/>
  <c r="P272" i="5"/>
  <c r="B4" i="4"/>
  <c r="C4" i="4"/>
  <c r="C13" i="4" s="1"/>
  <c r="C19" i="4" s="1"/>
  <c r="D4" i="4"/>
  <c r="E4" i="4"/>
  <c r="B7" i="4"/>
  <c r="C7" i="4"/>
  <c r="D7" i="4"/>
  <c r="E7" i="4"/>
  <c r="B9" i="4"/>
  <c r="C9" i="4"/>
  <c r="D9" i="4"/>
  <c r="E9" i="4"/>
  <c r="B11" i="4"/>
  <c r="C11" i="4"/>
  <c r="D11" i="4"/>
  <c r="D13" i="4" s="1"/>
  <c r="D19" i="4" s="1"/>
  <c r="E11" i="4"/>
  <c r="E13" i="4" s="1"/>
  <c r="E19" i="4" s="1"/>
  <c r="B13" i="4"/>
  <c r="B19" i="4" s="1"/>
  <c r="P274" i="5" l="1"/>
  <c r="P280" i="5" s="1"/>
  <c r="N274" i="5"/>
  <c r="N280" i="5" s="1"/>
</calcChain>
</file>

<file path=xl/sharedStrings.xml><?xml version="1.0" encoding="utf-8"?>
<sst xmlns="http://schemas.openxmlformats.org/spreadsheetml/2006/main" count="3272" uniqueCount="650">
  <si>
    <t>שם קרן</t>
  </si>
  <si>
    <t>הירר 1</t>
  </si>
  <si>
    <t>הירר 2</t>
  </si>
  <si>
    <t>הירר 3</t>
  </si>
  <si>
    <t>אופי בנק</t>
  </si>
  <si>
    <t>ריבית משתנה</t>
  </si>
  <si>
    <t>שם ענף</t>
  </si>
  <si>
    <t>שם נייר</t>
  </si>
  <si>
    <t>שם מנפיק</t>
  </si>
  <si>
    <t>אחוז ריבית</t>
  </si>
  <si>
    <t>תאריך פדיון</t>
  </si>
  <si>
    <t>מספר נייר</t>
  </si>
  <si>
    <t>ISIN</t>
  </si>
  <si>
    <t>שווי במטבע (ב- Fx וב- Spot במטבע צד שני לעסקה)</t>
  </si>
  <si>
    <t>תאור מטבע</t>
  </si>
  <si>
    <t>כמות</t>
  </si>
  <si>
    <t>כמות מושאלת</t>
  </si>
  <si>
    <t>בנק</t>
  </si>
  <si>
    <t>מחיר ביום 28/02/2026 במט"ח</t>
  </si>
  <si>
    <t>הערך בשוק ביום 28/02/2026 שקל חדש</t>
  </si>
  <si>
    <t>אחוז מסך נכסי הקרן בתאריך 28/02/2026</t>
  </si>
  <si>
    <t>ערך מטבע</t>
  </si>
  <si>
    <t>טיקר</t>
  </si>
  <si>
    <t>מקום מסחר</t>
  </si>
  <si>
    <t>עציוני (4D) גמישה</t>
  </si>
  <si>
    <t>אג"ח</t>
  </si>
  <si>
    <t>להמרה</t>
  </si>
  <si>
    <t>ישראליות</t>
  </si>
  <si>
    <t>ריבית קבועה</t>
  </si>
  <si>
    <t>בנייה</t>
  </si>
  <si>
    <t>מצלאוי-ס אג ז</t>
  </si>
  <si>
    <t>מצלאוי חברה לבנין בע"מ</t>
  </si>
  <si>
    <t>ILS</t>
  </si>
  <si>
    <t>בינלאומי</t>
  </si>
  <si>
    <t>MSL.C7-L</t>
  </si>
  <si>
    <t>ישראל</t>
  </si>
  <si>
    <t>מלונאות ותיירות</t>
  </si>
  <si>
    <t>איסתא אג א</t>
  </si>
  <si>
    <t>איסתא בע"מ</t>
  </si>
  <si>
    <t>ISTA.C1</t>
  </si>
  <si>
    <t>קונצרניות</t>
  </si>
  <si>
    <t>אג"ח קונצרניות - לא צמודות ריבית משתנה</t>
  </si>
  <si>
    <t>מכלול אגח א</t>
  </si>
  <si>
    <t>מכלול מימון בע"מ</t>
  </si>
  <si>
    <t>MCLL.B1</t>
  </si>
  <si>
    <t>מניף אגח א</t>
  </si>
  <si>
    <t>מניף-שירותים פיננסיים בע"מ</t>
  </si>
  <si>
    <t>MNIF.B1</t>
  </si>
  <si>
    <t>הפניקס אגח4</t>
  </si>
  <si>
    <t>הפניקס פיננסים בע"מ</t>
  </si>
  <si>
    <t>PHOE.B4</t>
  </si>
  <si>
    <t>אגח מובנות</t>
  </si>
  <si>
    <t>אלה פקדון אגח ד</t>
  </si>
  <si>
    <t>אלה פקדונות בע"מ</t>
  </si>
  <si>
    <t>ELDP.B4</t>
  </si>
  <si>
    <t>אג"ח קונצרניות-לא צמודות</t>
  </si>
  <si>
    <t>דלק קב אגח מ</t>
  </si>
  <si>
    <t>קבוצת דלק בע"מ</t>
  </si>
  <si>
    <t>DLKG.B40</t>
  </si>
  <si>
    <t>סלקום אגח יב</t>
  </si>
  <si>
    <t>סלקום ישראל בע"מ</t>
  </si>
  <si>
    <t>CEL.B12</t>
  </si>
  <si>
    <t>קופרליין אגח ד</t>
  </si>
  <si>
    <t>קופרליין אמריקאס לימיטד</t>
  </si>
  <si>
    <t>CPLN.B4</t>
  </si>
  <si>
    <t>אנשי העיר אגח א</t>
  </si>
  <si>
    <t>אנשי העיר מקבוצת רוטשטיין בע"מ</t>
  </si>
  <si>
    <t>CPPL.B1</t>
  </si>
  <si>
    <t>אלומיי אגח ו</t>
  </si>
  <si>
    <t>אלומיי קפיטל בע"מ</t>
  </si>
  <si>
    <t>ELLO.B6</t>
  </si>
  <si>
    <t>אנלייט אנ אגח ד</t>
  </si>
  <si>
    <t>אנלייט אנרגיה מתחדשת בע"מ</t>
  </si>
  <si>
    <t>ENLT.B4</t>
  </si>
  <si>
    <t>אנלייט אנר אגחו</t>
  </si>
  <si>
    <t>ENLT.B6</t>
  </si>
  <si>
    <t>אנרג'יקס אגח א</t>
  </si>
  <si>
    <t>אנרג'יקס-אנרגיות מתחדשות בע"מ</t>
  </si>
  <si>
    <t>ENRG.B1</t>
  </si>
  <si>
    <t>אלביט מע 'אגח ב</t>
  </si>
  <si>
    <t>אלביט מערכות בע"מ</t>
  </si>
  <si>
    <t>ESLT.B2</t>
  </si>
  <si>
    <t>אלדן תחבו אגח ו</t>
  </si>
  <si>
    <t>אלדן תחבורה בע"מ</t>
  </si>
  <si>
    <t>ELDT.B6</t>
  </si>
  <si>
    <t>יצוא אגח ב</t>
  </si>
  <si>
    <t>יצוא-חברה להשקעות בע"מ</t>
  </si>
  <si>
    <t>EXPO.B2</t>
  </si>
  <si>
    <t>פתאל אירו אגח ג</t>
  </si>
  <si>
    <t>פתאל נכסים(אירופה)בע"מ</t>
  </si>
  <si>
    <t>FTEU.B3</t>
  </si>
  <si>
    <t>גבאי מניבאגח יב</t>
  </si>
  <si>
    <t>גבאי מניבים ופיתוח בע"מ</t>
  </si>
  <si>
    <t>GBPR.B12</t>
  </si>
  <si>
    <t>גבאי מניבאגח יג</t>
  </si>
  <si>
    <t>GBPR.B13</t>
  </si>
  <si>
    <t>גשם למשתכן אגחא</t>
  </si>
  <si>
    <t>גשם למשתכן בע"מ</t>
  </si>
  <si>
    <t>GSHM.B1</t>
  </si>
  <si>
    <t>גשם למשתכן אגחב</t>
  </si>
  <si>
    <t>GSHM.B2</t>
  </si>
  <si>
    <t>אלמוגים אגח יב</t>
  </si>
  <si>
    <t>אלמוגים החזקות בע"מ</t>
  </si>
  <si>
    <t>ALMA.B12</t>
  </si>
  <si>
    <t>בית זיקוק אגח2</t>
  </si>
  <si>
    <t>בית זיקוק אשדוד בע"מ</t>
  </si>
  <si>
    <t>ARF.B2</t>
  </si>
  <si>
    <t>אשטרום קב אגח ג</t>
  </si>
  <si>
    <t>קבוצת אשטרום בע"מ</t>
  </si>
  <si>
    <t>ASHG.B3</t>
  </si>
  <si>
    <t>אב-גד אגח ב</t>
  </si>
  <si>
    <t>אב-גד החזקות בע"מ</t>
  </si>
  <si>
    <t>AVGD.B2</t>
  </si>
  <si>
    <t>אב-גד אגח ג</t>
  </si>
  <si>
    <t>AVGD.B3</t>
  </si>
  <si>
    <t>אב-גד אגח ד</t>
  </si>
  <si>
    <t>AVGD.B4</t>
  </si>
  <si>
    <t>איילון אגח ה</t>
  </si>
  <si>
    <t>איילון חברה לביטוח בע"מ</t>
  </si>
  <si>
    <t>AYAL.B5</t>
  </si>
  <si>
    <t>בזן אגח י</t>
  </si>
  <si>
    <t>בתי זקוק לנפט בע"מ</t>
  </si>
  <si>
    <t>BAZN.B10</t>
  </si>
  <si>
    <t>בלאקאדג 'אגח ג</t>
  </si>
  <si>
    <t>בלאקאדג 'בע"מ</t>
  </si>
  <si>
    <t>BLEG.B3</t>
  </si>
  <si>
    <t>בלאקאדג 'אגח ד</t>
  </si>
  <si>
    <t>BLEG.B4</t>
  </si>
  <si>
    <t>בוני תיכון אגחכ</t>
  </si>
  <si>
    <t>בוני התיכון הנדסה אזרחית ותשתי</t>
  </si>
  <si>
    <t>BONI.B20</t>
  </si>
  <si>
    <t>אורון קב אגח ג</t>
  </si>
  <si>
    <t>קבוצת אורון אחזקות והשקעות בע"</t>
  </si>
  <si>
    <t>ORON.B3</t>
  </si>
  <si>
    <t>נופר אנרג אגח ג</t>
  </si>
  <si>
    <t>ע.י .נופר אנרג'י בע"מ</t>
  </si>
  <si>
    <t>NOFR.B3</t>
  </si>
  <si>
    <t>נתנאל גרופ אגיג</t>
  </si>
  <si>
    <t>נתנאל גרופ בע"מ</t>
  </si>
  <si>
    <t>NTGR.B13</t>
  </si>
  <si>
    <t>נקסטקום אגח ג</t>
  </si>
  <si>
    <t>נקסטקום בע"מ</t>
  </si>
  <si>
    <t>NXTM.B3</t>
  </si>
  <si>
    <t>או.פי.סי אגח ג</t>
  </si>
  <si>
    <t>או.פי.סי אנרגיה בע"מ</t>
  </si>
  <si>
    <t>OPCE.B3</t>
  </si>
  <si>
    <t>או.פי.סי אגח ד</t>
  </si>
  <si>
    <t>OPCE.B4</t>
  </si>
  <si>
    <t>רותם שני אגח ב</t>
  </si>
  <si>
    <t>רותם שני יזמות והשקעות בע"מ</t>
  </si>
  <si>
    <t>RTSN.B2</t>
  </si>
  <si>
    <t>רותם שני אגח ג</t>
  </si>
  <si>
    <t>RTSN.B3</t>
  </si>
  <si>
    <t>פרטנר אגח ז</t>
  </si>
  <si>
    <t>חברת פרטנר תקשורת בע"מ</t>
  </si>
  <si>
    <t>PTNR.B7</t>
  </si>
  <si>
    <t>ספנסר אגח ב</t>
  </si>
  <si>
    <t>ספנסר אקוויטי גרופ לימיטד</t>
  </si>
  <si>
    <t>SPNR.B2</t>
  </si>
  <si>
    <t>ספנסר אגח ד</t>
  </si>
  <si>
    <t>SPNR.B4</t>
  </si>
  <si>
    <t>סטרוברי אגח ד</t>
  </si>
  <si>
    <t>סטרוברי פילדס ריט לימיטד</t>
  </si>
  <si>
    <t>STRB.B4</t>
  </si>
  <si>
    <t>תדיראן גרו אגח4</t>
  </si>
  <si>
    <t>תדיראן גרופ בע"מ</t>
  </si>
  <si>
    <t>TDRN.B4</t>
  </si>
  <si>
    <t>מניף אגח ב</t>
  </si>
  <si>
    <t>MNIF.B2</t>
  </si>
  <si>
    <t>מניף אגח ג</t>
  </si>
  <si>
    <t>MNIF.B3</t>
  </si>
  <si>
    <t>לייטסטון אגח ה</t>
  </si>
  <si>
    <t>לייטסטון אנטרפרייזס לימיטד</t>
  </si>
  <si>
    <t>LGTS.B5</t>
  </si>
  <si>
    <t>מצלאוי אגח ח</t>
  </si>
  <si>
    <t>MSLA.B8</t>
  </si>
  <si>
    <t>מיטב השק אגח ד</t>
  </si>
  <si>
    <t>מיטב בית השקעות בע"מ</t>
  </si>
  <si>
    <t>MTAV.B4</t>
  </si>
  <si>
    <t>נמקו אגח ב</t>
  </si>
  <si>
    <t>נמקו ריאלטי לטד</t>
  </si>
  <si>
    <t>NMCO.B2</t>
  </si>
  <si>
    <t>מכלול אגח ב</t>
  </si>
  <si>
    <t>MCLL.B2</t>
  </si>
  <si>
    <t>אמ.די.ג'י אגח ד</t>
  </si>
  <si>
    <t>אמ.די.ג'י .ריאל אסטייט גלובל ל</t>
  </si>
  <si>
    <t>MDG.B4</t>
  </si>
  <si>
    <t>מדיפאואר אגח ב</t>
  </si>
  <si>
    <t>מדיפאואר) אוברסיס )פאבליק קו.</t>
  </si>
  <si>
    <t>MDPR.B2</t>
  </si>
  <si>
    <t>מגדלי תיכוןאגחה</t>
  </si>
  <si>
    <t>מגדלי הים התיכון בע"מ</t>
  </si>
  <si>
    <t>MDTR.B5</t>
  </si>
  <si>
    <t>מגדלי תיכוןאגחו</t>
  </si>
  <si>
    <t>MDTR.B6</t>
  </si>
  <si>
    <t>מגדלי תיכוןאגחז</t>
  </si>
  <si>
    <t>MDTR.B7</t>
  </si>
  <si>
    <t>ישראל קנדה אגחח</t>
  </si>
  <si>
    <t>ישראל קנדה) ט.ר )בע"מ</t>
  </si>
  <si>
    <t>ISCN.B8</t>
  </si>
  <si>
    <t>ישפרו אגח ב</t>
  </si>
  <si>
    <t>ישפרו בע"מ</t>
  </si>
  <si>
    <t>ISPR.B2</t>
  </si>
  <si>
    <t>איידיאייהנ הת ו</t>
  </si>
  <si>
    <t>איי.די.איי הנפקות (2010) בע"מ</t>
  </si>
  <si>
    <t>UDII.B6</t>
  </si>
  <si>
    <t>יעז יזמות אגח א</t>
  </si>
  <si>
    <t>י.ע.ז יזמות ובניה והתחדשות עיר</t>
  </si>
  <si>
    <t>YAAZ.B1</t>
  </si>
  <si>
    <t>יוחננוף אגח א</t>
  </si>
  <si>
    <t>מ.יוחננוף ובניו (1988) בע"מ</t>
  </si>
  <si>
    <t>YHNF.B1</t>
  </si>
  <si>
    <t>יוזמות אגח ב</t>
  </si>
  <si>
    <t>יוזמות - פיתוח נדל"ן בע"מ</t>
  </si>
  <si>
    <t>YOZM.B2</t>
  </si>
  <si>
    <t>אג"ח קונצרניות-צמודות מדד</t>
  </si>
  <si>
    <t>יוניברסל אגח ג</t>
  </si>
  <si>
    <t>יוניברסל מוטורס ישראל בע"מ</t>
  </si>
  <si>
    <t>UNMI.B3</t>
  </si>
  <si>
    <t>ישפרו אגח ג</t>
  </si>
  <si>
    <t>ISPR.B3</t>
  </si>
  <si>
    <t>מקורות אגח11</t>
  </si>
  <si>
    <t>מקורות חברת מים בע"מ</t>
  </si>
  <si>
    <t>MKR.B11</t>
  </si>
  <si>
    <t>נופר אנרג אגח א</t>
  </si>
  <si>
    <t>NOFR.B1</t>
  </si>
  <si>
    <t>דוראל אגח א</t>
  </si>
  <si>
    <t>קבוצת דוראל משאבי אנרגיה מתחדש</t>
  </si>
  <si>
    <t>DORL.B1</t>
  </si>
  <si>
    <t>מניבים ריט אגחג</t>
  </si>
  <si>
    <t>מניבים קרן הריט החדשה בע"מ</t>
  </si>
  <si>
    <t>MNRT.B3</t>
  </si>
  <si>
    <t>מניבים ריט אגחד</t>
  </si>
  <si>
    <t>MNRT.B4</t>
  </si>
  <si>
    <t>רני צים אגח ג</t>
  </si>
  <si>
    <t>רני צים מרכזי קניות בע"מ</t>
  </si>
  <si>
    <t>RANI.B3</t>
  </si>
  <si>
    <t>פאוורג'ן אגח ב</t>
  </si>
  <si>
    <t>פאוורג'ן סולאר איי בע"מ</t>
  </si>
  <si>
    <t>POSA.B2</t>
  </si>
  <si>
    <t>רבוע נדלן אגח ט</t>
  </si>
  <si>
    <t>רבוע כחול נדל"ן בע"מ</t>
  </si>
  <si>
    <t>BLSR.B9</t>
  </si>
  <si>
    <t>אשטרום נכ אגח14</t>
  </si>
  <si>
    <t>אשטרום נכסים בע"מ</t>
  </si>
  <si>
    <t>ASPR.B14</t>
  </si>
  <si>
    <t>אדמה אגח ב</t>
  </si>
  <si>
    <t>אדמה פתרונות לחקלאות בע"מ</t>
  </si>
  <si>
    <t>ADAMA.B2</t>
  </si>
  <si>
    <t>חשמל אגח31</t>
  </si>
  <si>
    <t>חברת החשמל לישראל בע"מ</t>
  </si>
  <si>
    <t>ELEC.B31</t>
  </si>
  <si>
    <t>חשמל אגח34</t>
  </si>
  <si>
    <t>ELEC.B34</t>
  </si>
  <si>
    <t>דליה אגח א</t>
  </si>
  <si>
    <t>דליה חברות אנרגיה בע"מ</t>
  </si>
  <si>
    <t>DLIA.B1</t>
  </si>
  <si>
    <t>דליה אגח ב</t>
  </si>
  <si>
    <t>DLIA.B2</t>
  </si>
  <si>
    <t>אג"ח קונצרניות-צמודות מט"ח</t>
  </si>
  <si>
    <t>דלתא גליל אגח ו</t>
  </si>
  <si>
    <t>דלתא-גליל תעשיות בע"מ</t>
  </si>
  <si>
    <t>DELG.B6</t>
  </si>
  <si>
    <t>אלביט מע 'אגח ג</t>
  </si>
  <si>
    <t>ESLT.B3</t>
  </si>
  <si>
    <t>אלביט מע 'אגח ד</t>
  </si>
  <si>
    <t>ESLT.B4</t>
  </si>
  <si>
    <t>רציו מימון אגחד</t>
  </si>
  <si>
    <t>רציו אנרגיות) מימון )בע"מ</t>
  </si>
  <si>
    <t>RATF.B4</t>
  </si>
  <si>
    <t>יו.אמ.איץ 'אגחא</t>
  </si>
  <si>
    <t>יו.אמ.איץ 'פרופרטיס אינק</t>
  </si>
  <si>
    <t>UMH.B1</t>
  </si>
  <si>
    <t>תמר פטרו אגח א</t>
  </si>
  <si>
    <t>תמר פטרוליום בע"מ</t>
  </si>
  <si>
    <t>TMRP.B1</t>
  </si>
  <si>
    <t>ני"ע</t>
  </si>
  <si>
    <t>מניות</t>
  </si>
  <si>
    <t>מזון וטבק</t>
  </si>
  <si>
    <t>זנלכל</t>
  </si>
  <si>
    <t>זנלכל בע"מ</t>
  </si>
  <si>
    <t>ZNKL</t>
  </si>
  <si>
    <t>נטו אחזקות</t>
  </si>
  <si>
    <t>נטו מ.ע .אחזקות בע"מ</t>
  </si>
  <si>
    <t>NTO</t>
  </si>
  <si>
    <t>כרמל קורפ</t>
  </si>
  <si>
    <t>כרמל קורפ בע"מ</t>
  </si>
  <si>
    <t>CRML</t>
  </si>
  <si>
    <t>אופנה והלבשה</t>
  </si>
  <si>
    <t>פמס</t>
  </si>
  <si>
    <t>מפעלי פ.מ.ס .מיגון בע"מ</t>
  </si>
  <si>
    <t>FBRT</t>
  </si>
  <si>
    <t>אלקטרוניקה ואופטיקה</t>
  </si>
  <si>
    <t>סיאי</t>
  </si>
  <si>
    <t>סי אי סיסטמס) ישראל )בע"מ</t>
  </si>
  <si>
    <t>CISY</t>
  </si>
  <si>
    <t>ארד</t>
  </si>
  <si>
    <t>ארד בע"מ</t>
  </si>
  <si>
    <t>ARD</t>
  </si>
  <si>
    <t>פיסיבי טכנ</t>
  </si>
  <si>
    <t>פי.סי.בי .טכנולוגיות בע"מ</t>
  </si>
  <si>
    <t>PCBT</t>
  </si>
  <si>
    <t>טלסיס</t>
  </si>
  <si>
    <t>טלסיס בע"מ</t>
  </si>
  <si>
    <t>TLSY</t>
  </si>
  <si>
    <t>יוניטרוניקס</t>
  </si>
  <si>
    <t>יוניטרוניקס) (1989) ר"ג )בע"מ</t>
  </si>
  <si>
    <t>UNIT</t>
  </si>
  <si>
    <t>אנרגיה</t>
  </si>
  <si>
    <t>בזן</t>
  </si>
  <si>
    <t>ORL</t>
  </si>
  <si>
    <t>בזא</t>
  </si>
  <si>
    <t>ARF</t>
  </si>
  <si>
    <t>אנרגיה מתחדשת</t>
  </si>
  <si>
    <t>דוראל אנרגיה</t>
  </si>
  <si>
    <t>DORL</t>
  </si>
  <si>
    <t>סולאיר</t>
  </si>
  <si>
    <t>סולאיר אנרגיות מתחדשות בע"מ</t>
  </si>
  <si>
    <t>SOLR</t>
  </si>
  <si>
    <t>אשראי חוץ בנקאי</t>
  </si>
  <si>
    <t>אופל בלאנס</t>
  </si>
  <si>
    <t>אופל בלאנס השקעות בע"מ</t>
  </si>
  <si>
    <t>OPAL</t>
  </si>
  <si>
    <t>מניף</t>
  </si>
  <si>
    <t>MNIF</t>
  </si>
  <si>
    <t>מימון ישיר</t>
  </si>
  <si>
    <t>מימון ישיר מקבוצת ישיר(2006)</t>
  </si>
  <si>
    <t>DIFI</t>
  </si>
  <si>
    <t>ביטוח</t>
  </si>
  <si>
    <t>איילון</t>
  </si>
  <si>
    <t>AYAL</t>
  </si>
  <si>
    <t>ליברה</t>
  </si>
  <si>
    <t>ליברה חברה לביטוח בע"מ</t>
  </si>
  <si>
    <t>LBRA</t>
  </si>
  <si>
    <t>איידיאיי ביטוח</t>
  </si>
  <si>
    <t>איי.די.איי .חברה לביטוח בע"מ</t>
  </si>
  <si>
    <t>IDIN</t>
  </si>
  <si>
    <t>הפניקס</t>
  </si>
  <si>
    <t>PHOE</t>
  </si>
  <si>
    <t>ווישור גלובלטק</t>
  </si>
  <si>
    <t>ווישור גלובלטק בע"מ</t>
  </si>
  <si>
    <t>WESR</t>
  </si>
  <si>
    <t>ביטחוניות</t>
  </si>
  <si>
    <t>מר</t>
  </si>
  <si>
    <t>ח.מר תעשיות בע"מ</t>
  </si>
  <si>
    <t>CMER</t>
  </si>
  <si>
    <t>חג'ג'</t>
  </si>
  <si>
    <t>קבוצת חג'ג 'ייזום נדל"ן בע"מ</t>
  </si>
  <si>
    <t>HGG</t>
  </si>
  <si>
    <t>אזורים</t>
  </si>
  <si>
    <t>אזורים-חברה להשקעות בפתוח ובבנ</t>
  </si>
  <si>
    <t>AZRM</t>
  </si>
  <si>
    <t>נתנאל גרופ</t>
  </si>
  <si>
    <t>NTGR</t>
  </si>
  <si>
    <t>פרשקובסקי</t>
  </si>
  <si>
    <t>פרשקובסקי השקעות ובניין בע"מ</t>
  </si>
  <si>
    <t>PRSK</t>
  </si>
  <si>
    <t>בנקים מסחריים</t>
  </si>
  <si>
    <t>פועלים</t>
  </si>
  <si>
    <t>בנק הפועלים בע"מ</t>
  </si>
  <si>
    <t>POLI</t>
  </si>
  <si>
    <t>לאומי</t>
  </si>
  <si>
    <t>בנק לאומי לישראל בע"מ</t>
  </si>
  <si>
    <t>LUMI</t>
  </si>
  <si>
    <t>פיבי</t>
  </si>
  <si>
    <t>פ.י.ב.י .אחזקות בע"מ</t>
  </si>
  <si>
    <t>FIBIH</t>
  </si>
  <si>
    <t>חיפושי נפט וגז</t>
  </si>
  <si>
    <t>כהן פיתוח</t>
  </si>
  <si>
    <t>כהן פיתוח גז ונפט בע"מ</t>
  </si>
  <si>
    <t>CDEV</t>
  </si>
  <si>
    <t>ישראמקו יהש</t>
  </si>
  <si>
    <t>ישראמקו נגב 2 שותפות מוגבלת</t>
  </si>
  <si>
    <t>ISRA</t>
  </si>
  <si>
    <t>ניו-מד אנרג יהש</t>
  </si>
  <si>
    <t>ניו-מד אנרג'י -שותפות מוגבלת</t>
  </si>
  <si>
    <t>NWMD</t>
  </si>
  <si>
    <t>רציו יהש</t>
  </si>
  <si>
    <t>רציו אנרגיות-שותפות מוגבלת</t>
  </si>
  <si>
    <t>RATI</t>
  </si>
  <si>
    <t>תמר פטרוליום</t>
  </si>
  <si>
    <t>TMRP</t>
  </si>
  <si>
    <t>כימיה גומי ופלסטיק</t>
  </si>
  <si>
    <t>רימוני</t>
  </si>
  <si>
    <t>רימוני תעשיות בע"מ</t>
  </si>
  <si>
    <t>RIMO</t>
  </si>
  <si>
    <t>פלרם</t>
  </si>
  <si>
    <t>פלרם (1990) תעשיות בע"מ</t>
  </si>
  <si>
    <t>PLRM</t>
  </si>
  <si>
    <t>פלסאון תעשיות</t>
  </si>
  <si>
    <t>פלסאון תעשיות בע"מ</t>
  </si>
  <si>
    <t>PLSN</t>
  </si>
  <si>
    <t>כפרית</t>
  </si>
  <si>
    <t>כפרית תעשיות (1993) בע"מ</t>
  </si>
  <si>
    <t>KAFR</t>
  </si>
  <si>
    <t>מוליכים למחצה</t>
  </si>
  <si>
    <t>קווליטאו</t>
  </si>
  <si>
    <t>קווליטאו בע"מ</t>
  </si>
  <si>
    <t>QLTU</t>
  </si>
  <si>
    <t>קשרי תעופה</t>
  </si>
  <si>
    <t>קשרי תעופה בע"מ</t>
  </si>
  <si>
    <t>AVIA</t>
  </si>
  <si>
    <t>מסחר</t>
  </si>
  <si>
    <t>דלק רכב</t>
  </si>
  <si>
    <t>דלק מערכות רכב בע"מ</t>
  </si>
  <si>
    <t>DLEA</t>
  </si>
  <si>
    <t>סקופ</t>
  </si>
  <si>
    <t>קבוצת סקופ מתכות בע"מ</t>
  </si>
  <si>
    <t>SCOP</t>
  </si>
  <si>
    <t>פרימוטק</t>
  </si>
  <si>
    <t>פרימוטק גרופ בע"מ</t>
  </si>
  <si>
    <t>PRMG</t>
  </si>
  <si>
    <t>מתכת</t>
  </si>
  <si>
    <t>אינרום</t>
  </si>
  <si>
    <t>אינרום תעשיות בנייה בע"מ</t>
  </si>
  <si>
    <t>INRM</t>
  </si>
  <si>
    <t>בית שמש</t>
  </si>
  <si>
    <t>מנועי בית שמש אחזקות (1997) בע</t>
  </si>
  <si>
    <t>BSEN</t>
  </si>
  <si>
    <t>חמת</t>
  </si>
  <si>
    <t>קבוצת חמת בע"מ</t>
  </si>
  <si>
    <t>HAMAT</t>
  </si>
  <si>
    <t>נדלן מניב בישראל</t>
  </si>
  <si>
    <t>ביג</t>
  </si>
  <si>
    <t>ביג מרכזי קניות בע"מ</t>
  </si>
  <si>
    <t>BIG</t>
  </si>
  <si>
    <t>רבוע נדלן</t>
  </si>
  <si>
    <t>BLSR</t>
  </si>
  <si>
    <t>מליסרון</t>
  </si>
  <si>
    <t>מליסרון בע"מ</t>
  </si>
  <si>
    <t>MLSR</t>
  </si>
  <si>
    <t>עץ, נייר ודפוס</t>
  </si>
  <si>
    <t>ספאנטק</t>
  </si>
  <si>
    <t>נ.ר .ספאנטק תעשיות בע"מ</t>
  </si>
  <si>
    <t>SPNTC</t>
  </si>
  <si>
    <t>עלבד</t>
  </si>
  <si>
    <t>עלבד משואות יצחק בע"מ</t>
  </si>
  <si>
    <t>ALBA</t>
  </si>
  <si>
    <t>פארמה</t>
  </si>
  <si>
    <t>טבע</t>
  </si>
  <si>
    <t>טבע תעשיות פרמצבטיות בע"מ</t>
  </si>
  <si>
    <t>TEVA</t>
  </si>
  <si>
    <t>ציוד ותקשורת</t>
  </si>
  <si>
    <t>אודיוקודס</t>
  </si>
  <si>
    <t>אודיוקודס בע"מ</t>
  </si>
  <si>
    <t>AUDC</t>
  </si>
  <si>
    <t>קנאביס</t>
  </si>
  <si>
    <t>שיח מדיקל</t>
  </si>
  <si>
    <t>שיח מדיקל גרופ בע"מ</t>
  </si>
  <si>
    <t>SEMG</t>
  </si>
  <si>
    <t>רשתות שיווק</t>
  </si>
  <si>
    <t>מולטי ריטייל</t>
  </si>
  <si>
    <t>מולטי ריטייל גרופ בע"מ</t>
  </si>
  <si>
    <t>MRG</t>
  </si>
  <si>
    <t>גולף</t>
  </si>
  <si>
    <t>קבוצת גולף א .ק .בע"מ</t>
  </si>
  <si>
    <t>GOLF</t>
  </si>
  <si>
    <t>קסטרו</t>
  </si>
  <si>
    <t>קסטרו מודל בע"מ</t>
  </si>
  <si>
    <t>CAST</t>
  </si>
  <si>
    <t>טרמינל איקס</t>
  </si>
  <si>
    <t>טרמינל איקס אונליין בע"מ</t>
  </si>
  <si>
    <t>TRX</t>
  </si>
  <si>
    <t>טיב טעם</t>
  </si>
  <si>
    <t>טיב טעם הולדינגס 1 בע"מ</t>
  </si>
  <si>
    <t>TTAM</t>
  </si>
  <si>
    <t>ויקטורי</t>
  </si>
  <si>
    <t>ויקטורי רשת סופרמרקטים בע"מ</t>
  </si>
  <si>
    <t>VCTR</t>
  </si>
  <si>
    <t>יוחננוף</t>
  </si>
  <si>
    <t>YHNF</t>
  </si>
  <si>
    <t>שרותי מידע</t>
  </si>
  <si>
    <t>חילן</t>
  </si>
  <si>
    <t>חילן בע"מ</t>
  </si>
  <si>
    <t>HLAN</t>
  </si>
  <si>
    <t>מטריקס</t>
  </si>
  <si>
    <t>מטריקס אי.טי בע"מ</t>
  </si>
  <si>
    <t>MTRX</t>
  </si>
  <si>
    <t>מלם תים</t>
  </si>
  <si>
    <t>מלם-תים בע"מ</t>
  </si>
  <si>
    <t>MLTM</t>
  </si>
  <si>
    <t>ספידווליו</t>
  </si>
  <si>
    <t>ספידווליו בע"מ</t>
  </si>
  <si>
    <t>SPDV</t>
  </si>
  <si>
    <t>וואן טכנולוגיות</t>
  </si>
  <si>
    <t>וואן טכנולוגיות תוכנה בע"מ</t>
  </si>
  <si>
    <t>ONE</t>
  </si>
  <si>
    <t>שרותים</t>
  </si>
  <si>
    <t>שגריר</t>
  </si>
  <si>
    <t>קבוצת שגריר שירותי רכב בע"מ</t>
  </si>
  <si>
    <t>SHGR</t>
  </si>
  <si>
    <t>ישראייר גרופ</t>
  </si>
  <si>
    <t>ישראייר גרופ בע"מ</t>
  </si>
  <si>
    <t>ISRG</t>
  </si>
  <si>
    <t>ג'י וואן</t>
  </si>
  <si>
    <t>ג'י וואן פתרונות אבטחה בע"מ</t>
  </si>
  <si>
    <t>GOSS</t>
  </si>
  <si>
    <t>אלדן תחבורה</t>
  </si>
  <si>
    <t>ELDT</t>
  </si>
  <si>
    <t>ברן</t>
  </si>
  <si>
    <t>קבוצת ברן בע"מ</t>
  </si>
  <si>
    <t>BRAN</t>
  </si>
  <si>
    <t>שרותים פיננסים</t>
  </si>
  <si>
    <t>אטראו שוקי הון</t>
  </si>
  <si>
    <t>אטראו שוקי הון בע"מ</t>
  </si>
  <si>
    <t>ATRY</t>
  </si>
  <si>
    <t>ישראכרט</t>
  </si>
  <si>
    <t>ישראכרט בע"מ</t>
  </si>
  <si>
    <t>ISCD</t>
  </si>
  <si>
    <t>שירותי בנק אוטו</t>
  </si>
  <si>
    <t>שירותי בנק אוטומטיים בע"מ</t>
  </si>
  <si>
    <t>SHVA</t>
  </si>
  <si>
    <t>תוכנה ואינטרנט</t>
  </si>
  <si>
    <t>סינאל</t>
  </si>
  <si>
    <t>סינאל מלל פייוויי בע"מ</t>
  </si>
  <si>
    <t>SNEL</t>
  </si>
  <si>
    <t>נייס</t>
  </si>
  <si>
    <t>נייס בע"מ</t>
  </si>
  <si>
    <t>NICE</t>
  </si>
  <si>
    <t>לודן-טק</t>
  </si>
  <si>
    <t>לודן-טק) ל.ק (.בע"מ</t>
  </si>
  <si>
    <t>LUDT</t>
  </si>
  <si>
    <t>טופ גרופ</t>
  </si>
  <si>
    <t>טופ גרופ תוכנה בע"מ</t>
  </si>
  <si>
    <t>TOPG</t>
  </si>
  <si>
    <t>תקשורת ומדיה</t>
  </si>
  <si>
    <t>בזק</t>
  </si>
  <si>
    <t>בזק החברה הישראלית לתקשורת בע"</t>
  </si>
  <si>
    <t>BEZQ</t>
  </si>
  <si>
    <t>סלקום</t>
  </si>
  <si>
    <t>CEL</t>
  </si>
  <si>
    <t>ישראליות נסחרות בחו"ל</t>
  </si>
  <si>
    <t>BUILDING MATERIALS</t>
  </si>
  <si>
    <t>CAESARSTONE LTD</t>
  </si>
  <si>
    <t>Caesarstone Ltd</t>
  </si>
  <si>
    <t>IL0011259137</t>
  </si>
  <si>
    <t>USD</t>
  </si>
  <si>
    <t>CSTE US</t>
  </si>
  <si>
    <t>ארצות הברית</t>
  </si>
  <si>
    <t>ELECTRONICS</t>
  </si>
  <si>
    <t>ELTEK LIMITED</t>
  </si>
  <si>
    <t>Eltek Ltd</t>
  </si>
  <si>
    <t>IL0010828411</t>
  </si>
  <si>
    <t>ELTK US</t>
  </si>
  <si>
    <t>HEALTH CARE-PRODUCTS</t>
  </si>
  <si>
    <t>INMODE LTD</t>
  </si>
  <si>
    <t>Inmode Ltd</t>
  </si>
  <si>
    <t>IL0011595993</t>
  </si>
  <si>
    <t>INMD US</t>
  </si>
  <si>
    <t>SOFTWARE</t>
  </si>
  <si>
    <t>MONDAY.COM LTD</t>
  </si>
  <si>
    <t>Monday.com Ltd</t>
  </si>
  <si>
    <t>IL0011762130</t>
  </si>
  <si>
    <t>MNDY US</t>
  </si>
  <si>
    <t>TELECOMMUNICATIONS</t>
  </si>
  <si>
    <t>SILICOM LIMITED</t>
  </si>
  <si>
    <t>Silicom Ltd</t>
  </si>
  <si>
    <t>IL0010826928</t>
  </si>
  <si>
    <t>SILC US</t>
  </si>
  <si>
    <t>TRANSPORTATION</t>
  </si>
  <si>
    <t>ZIM INTEGRATED SHIPING SERV</t>
  </si>
  <si>
    <t>ZIM Integrated Shipping Servic</t>
  </si>
  <si>
    <t>IL0065100930</t>
  </si>
  <si>
    <t>ZIM US</t>
  </si>
  <si>
    <t>ITURAN LOCATION AND CONTROL LT</t>
  </si>
  <si>
    <t>Ituran Location and Control Lt</t>
  </si>
  <si>
    <t>IL0010818685</t>
  </si>
  <si>
    <t>ITRN US</t>
  </si>
  <si>
    <t>זרות נסחרות בחול</t>
  </si>
  <si>
    <t>ENERGY-ALTERNATE SOURCES</t>
  </si>
  <si>
    <t>TIGO ENERGY INC</t>
  </si>
  <si>
    <t>Tigo Energy Inc</t>
  </si>
  <si>
    <t>US88675P1030</t>
  </si>
  <si>
    <t>TYGO US</t>
  </si>
  <si>
    <t>E.T.F.</t>
  </si>
  <si>
    <t>Equity</t>
  </si>
  <si>
    <t>STATE STREET SPDR S&amp;P 500 ETF</t>
  </si>
  <si>
    <t>State Street SPDR S&amp;P 500 ETF</t>
  </si>
  <si>
    <t>US78462F1030</t>
  </si>
  <si>
    <t>SPY US</t>
  </si>
  <si>
    <t>הוצאות מכירה</t>
  </si>
  <si>
    <t>סה"כ ניירות ערך</t>
  </si>
  <si>
    <t>סה"כ חוזים עתידיים</t>
  </si>
  <si>
    <t>סה"כ אמצעים נזילים זרים</t>
  </si>
  <si>
    <t>סה"כ אמצעים נזילים שקליים</t>
  </si>
  <si>
    <t>הערך בשוק 28/02/2026</t>
  </si>
  <si>
    <t>ני"ע E.T.F. זרות נסחרות בחול</t>
  </si>
  <si>
    <t>ני"ע מניות זרות נסחרות בחול</t>
  </si>
  <si>
    <t>סה"כ ני"ע זרות נסחרות בחול</t>
  </si>
  <si>
    <t>אג"ח  ישראליות</t>
  </si>
  <si>
    <t>אג"ח להמרה ישראליות</t>
  </si>
  <si>
    <t>סה"כ אג"ח ישראליות</t>
  </si>
  <si>
    <t>ני"ע מניות ישראליות</t>
  </si>
  <si>
    <t>סה"כ ני"ע ישראליות</t>
  </si>
  <si>
    <t>ני"ע מניות ישראליות נסחרות בחו"ל</t>
  </si>
  <si>
    <t>סה"כ ני"ע ישראליות נסחרות בחו"ל</t>
  </si>
  <si>
    <t>סה"כ סך הכל נכסים נטו לפי שווי שוק</t>
  </si>
  <si>
    <t>אג"ח להמרה  ישראליות</t>
  </si>
  <si>
    <t>סה"כ בנייה</t>
  </si>
  <si>
    <t>סה"כ מלונאות ותיירות</t>
  </si>
  <si>
    <t>סה"כ אג"ח להמרה  ישראליות</t>
  </si>
  <si>
    <t>אג"ח  קונצרניות ישראליות</t>
  </si>
  <si>
    <t>סה"כ אג"ח קונצרניות - לא צמודות ריבית משתנה</t>
  </si>
  <si>
    <t>סה"כ אגח מובנות</t>
  </si>
  <si>
    <t>סה"כ אג"ח קונצרניות-לא צמודות</t>
  </si>
  <si>
    <t>סה"כ אג"ח קונצרניות-צמודות מדד</t>
  </si>
  <si>
    <t>סה"כ אג"ח קונצרניות-צמודות מט"ח</t>
  </si>
  <si>
    <t>סה"כ אג"ח  קונצרניות ישראליות</t>
  </si>
  <si>
    <t>ני"ע מניות  ישראליות</t>
  </si>
  <si>
    <t>סה"כ מזון וטבק</t>
  </si>
  <si>
    <t>סה"כ אופנה והלבשה</t>
  </si>
  <si>
    <t>סה"כ אלקטרוניקה ואופטיקה</t>
  </si>
  <si>
    <t>סה"כ אנרגיה</t>
  </si>
  <si>
    <t>סה"כ אנרגיה מתחדשת</t>
  </si>
  <si>
    <t>סה"כ אשראי חוץ בנקאי</t>
  </si>
  <si>
    <t>סה"כ ביטוח</t>
  </si>
  <si>
    <t>סה"כ ביטחוניות</t>
  </si>
  <si>
    <t>סה"כ בנקים מסחריים</t>
  </si>
  <si>
    <t>סה"כ חיפושי נפט וגז</t>
  </si>
  <si>
    <t>סה"כ כימיה גומי ופלסטיק</t>
  </si>
  <si>
    <t>סה"כ מוליכים למחצה</t>
  </si>
  <si>
    <t>סה"כ מסחר</t>
  </si>
  <si>
    <t>סה"כ מתכת</t>
  </si>
  <si>
    <t>סה"כ נדלן מניב בישראל</t>
  </si>
  <si>
    <t>סה"כ עץ, נייר ודפוס</t>
  </si>
  <si>
    <t>סה"כ פארמה</t>
  </si>
  <si>
    <t>סה"כ ציוד ותקשורת</t>
  </si>
  <si>
    <t>סה"כ קנאביס</t>
  </si>
  <si>
    <t>סה"כ רשתות שיווק</t>
  </si>
  <si>
    <t>סה"כ שרותי מידע</t>
  </si>
  <si>
    <t>סה"כ שרותים</t>
  </si>
  <si>
    <t>סה"כ שרותים פיננסים</t>
  </si>
  <si>
    <t>סה"כ תוכנה ואינטרנט</t>
  </si>
  <si>
    <t>סה"כ תקשורת ומדיה</t>
  </si>
  <si>
    <t>סה"כ ני"ע מניות  ישראליות</t>
  </si>
  <si>
    <t>ני"ע מניות  ישראליות נסחרות בחו"ל</t>
  </si>
  <si>
    <t>סה"כ BUILDING MATERIALS</t>
  </si>
  <si>
    <t>סה"כ ELECTRONICS</t>
  </si>
  <si>
    <t>סה"כ HEALTH CARE-PRODUCTS</t>
  </si>
  <si>
    <t>סה"כ SOFTWARE</t>
  </si>
  <si>
    <t>סה"כ TELECOMMUNICATIONS</t>
  </si>
  <si>
    <t>סה"כ TRANSPORTATION</t>
  </si>
  <si>
    <t>סה"כ ני"ע מניות  ישראליות נסחרות בחו"ל</t>
  </si>
  <si>
    <t>ני"ע מניות  זרות נסחרות בחול</t>
  </si>
  <si>
    <t>סה"כ ENERGY-ALTERNATE SOURCES</t>
  </si>
  <si>
    <t>סה"כ ני"ע מניות  זרות נסחרות בחול</t>
  </si>
  <si>
    <t>ני"ע E.T.F.  זרות נסחרות בחול</t>
  </si>
  <si>
    <t>סה"כ Equity</t>
  </si>
  <si>
    <t>סה"כ ני"ע E.T.F.  זרות נסחרות בחול</t>
  </si>
  <si>
    <t>סה"כ סך הכל נכסים לפי שווי שוק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</si>
</sst>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"/>
    <numFmt numFmtId="165" formatCode="dd\/mm\/yyyy"/>
    <numFmt numFmtId="166" formatCode="&quot;₪&quot;\ #,##0"/>
    <numFmt numFmtId="167" formatCode="0.0000"/>
    <numFmt numFmtId="168" formatCode="#,##0.000"/>
    <numFmt numFmtId="169" formatCode="\₪\ #,##0.00"/>
  </numFmts>
  <fonts count="8" x14ac:knownFonts="1">
    <font>
      <sz val="11"/>
      <color theme="1"/>
      <name val="Arial"/>
      <family val="2"/>
      <charset val="177"/>
      <scheme val="minor"/>
    </font>
    <font>
      <b/>
      <sz val="12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sz val="9"/>
      <color rgb="FFFF0000"/>
      <name val="Arial"/>
      <family val="2"/>
      <charset val="177"/>
      <scheme val="minor"/>
    </font>
    <font>
      <b/>
      <u/>
      <sz val="14"/>
      <color theme="1"/>
      <name val="Arial"/>
      <family val="2"/>
      <scheme val="minor"/>
    </font>
    <font>
      <b/>
      <sz val="9"/>
      <color theme="1"/>
      <name val="Arial"/>
      <family val="2"/>
      <charset val="177"/>
      <scheme val="minor"/>
    </font>
    <font>
      <b/>
      <sz val="8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2" fillId="0" borderId="1" xfId="0" applyFont="1" applyBorder="1"/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3" fontId="2" fillId="0" borderId="1" xfId="0" applyNumberFormat="1" applyFont="1" applyBorder="1"/>
    <xf numFmtId="164" fontId="4" fillId="0" borderId="0" xfId="0" applyNumberFormat="1" applyFont="1" applyAlignment="1">
      <alignment horizontal="center" wrapText="1"/>
    </xf>
    <xf numFmtId="164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6" fillId="0" borderId="1" xfId="0" applyFont="1" applyBorder="1"/>
    <xf numFmtId="165" fontId="3" fillId="0" borderId="0" xfId="0" applyNumberFormat="1" applyFont="1"/>
    <xf numFmtId="165" fontId="3" fillId="0" borderId="1" xfId="0" applyNumberFormat="1" applyFont="1" applyBorder="1"/>
    <xf numFmtId="165" fontId="6" fillId="0" borderId="1" xfId="0" applyNumberFormat="1" applyFont="1" applyBorder="1"/>
    <xf numFmtId="4" fontId="3" fillId="0" borderId="0" xfId="0" applyNumberFormat="1" applyFont="1"/>
    <xf numFmtId="4" fontId="3" fillId="0" borderId="1" xfId="0" applyNumberFormat="1" applyFont="1" applyBorder="1"/>
    <xf numFmtId="4" fontId="6" fillId="0" borderId="1" xfId="0" applyNumberFormat="1" applyFont="1" applyBorder="1"/>
    <xf numFmtId="164" fontId="3" fillId="0" borderId="0" xfId="0" applyNumberFormat="1" applyFont="1"/>
    <xf numFmtId="164" fontId="3" fillId="0" borderId="1" xfId="0" applyNumberFormat="1" applyFont="1" applyBorder="1"/>
    <xf numFmtId="164" fontId="6" fillId="0" borderId="1" xfId="0" applyNumberFormat="1" applyFont="1" applyBorder="1"/>
    <xf numFmtId="168" fontId="3" fillId="0" borderId="0" xfId="0" applyNumberFormat="1" applyFont="1"/>
    <xf numFmtId="168" fontId="3" fillId="0" borderId="1" xfId="0" applyNumberFormat="1" applyFont="1" applyBorder="1"/>
    <xf numFmtId="168" fontId="6" fillId="0" borderId="1" xfId="0" applyNumberFormat="1" applyFont="1" applyBorder="1"/>
    <xf numFmtId="169" fontId="3" fillId="0" borderId="0" xfId="0" applyNumberFormat="1" applyFont="1"/>
    <xf numFmtId="169" fontId="3" fillId="0" borderId="1" xfId="0" applyNumberFormat="1" applyFont="1" applyBorder="1"/>
    <xf numFmtId="169" fontId="6" fillId="0" borderId="1" xfId="0" applyNumberFormat="1" applyFont="1" applyBorder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4" fontId="3" fillId="0" borderId="0" xfId="0" applyNumberFormat="1" applyFont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4" fontId="7" fillId="0" borderId="0" xfId="0" applyNumberFormat="1" applyFont="1" applyAlignment="1">
      <alignment horizontal="center" wrapText="1"/>
    </xf>
    <xf numFmtId="168" fontId="7" fillId="0" borderId="0" xfId="0" applyNumberFormat="1" applyFont="1" applyAlignment="1">
      <alignment horizontal="center" wrapText="1"/>
    </xf>
    <xf numFmtId="169" fontId="7" fillId="0" borderId="0" xfId="0" applyNumberFormat="1" applyFont="1" applyAlignment="1">
      <alignment horizontal="center" wrapText="1"/>
    </xf>
    <xf numFmtId="169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"/>
  <sheetViews>
    <sheetView rightToLeft="1" tabSelected="1" workbookViewId="0">
      <pane ySplit="1" topLeftCell="A2" activePane="bottomLeft" state="frozenSplit"/>
      <selection pane="bottomLeft" activeCell="G4" sqref="G4:G6"/>
    </sheetView>
  </sheetViews>
  <sheetFormatPr defaultRowHeight="14" x14ac:dyDescent="0.3"/>
  <cols>
    <col min="6" max="6" width="12.25" bestFit="1" customWidth="1"/>
    <col min="7" max="7" width="31.33203125" bestFit="1" customWidth="1"/>
    <col min="20" max="20" width="16.4140625" customWidth="1"/>
  </cols>
  <sheetData>
    <row r="1" spans="1:25" s="8" customFormat="1" ht="15.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11" t="s">
        <v>10</v>
      </c>
      <c r="L1" s="8" t="s">
        <v>11</v>
      </c>
      <c r="M1" s="8" t="s">
        <v>12</v>
      </c>
      <c r="N1" s="12" t="s">
        <v>13</v>
      </c>
      <c r="O1" s="8" t="s">
        <v>14</v>
      </c>
      <c r="P1" s="13" t="s">
        <v>15</v>
      </c>
      <c r="Q1" s="12" t="s">
        <v>16</v>
      </c>
      <c r="R1" s="8" t="s">
        <v>17</v>
      </c>
      <c r="S1" s="12" t="s">
        <v>18</v>
      </c>
      <c r="T1" s="14" t="s">
        <v>19</v>
      </c>
      <c r="U1" s="10" t="s">
        <v>20</v>
      </c>
      <c r="V1" s="10" t="s">
        <v>20</v>
      </c>
      <c r="W1" s="15" t="s">
        <v>21</v>
      </c>
      <c r="X1" s="9" t="s">
        <v>22</v>
      </c>
      <c r="Y1" s="8" t="s">
        <v>23</v>
      </c>
    </row>
    <row r="2" spans="1:25" x14ac:dyDescent="0.3">
      <c r="A2" t="s">
        <v>24</v>
      </c>
      <c r="B2" t="s">
        <v>25</v>
      </c>
      <c r="C2" t="s">
        <v>26</v>
      </c>
      <c r="E2" t="s">
        <v>27</v>
      </c>
      <c r="F2" t="s">
        <v>28</v>
      </c>
      <c r="G2" t="s">
        <v>29</v>
      </c>
      <c r="H2" s="1" t="s">
        <v>30</v>
      </c>
      <c r="I2" t="s">
        <v>31</v>
      </c>
      <c r="J2" s="2">
        <v>2.75E-2</v>
      </c>
      <c r="K2" s="3">
        <v>46385</v>
      </c>
      <c r="L2">
        <v>1181676</v>
      </c>
      <c r="M2">
        <v>1181676</v>
      </c>
      <c r="N2" s="4"/>
      <c r="O2" t="s">
        <v>32</v>
      </c>
      <c r="P2" s="5">
        <v>96623.4</v>
      </c>
      <c r="Q2" s="4">
        <v>0</v>
      </c>
      <c r="R2" t="s">
        <v>33</v>
      </c>
      <c r="S2" s="4">
        <v>100.3</v>
      </c>
      <c r="T2" s="6">
        <v>96913.270199999999</v>
      </c>
      <c r="U2" s="2">
        <v>7.7800000000000005E-4</v>
      </c>
      <c r="V2" s="2">
        <v>7.7800000000000005E-4</v>
      </c>
      <c r="W2" s="7">
        <v>1</v>
      </c>
      <c r="X2" s="1" t="s">
        <v>34</v>
      </c>
      <c r="Y2" t="s">
        <v>35</v>
      </c>
    </row>
    <row r="3" spans="1:25" x14ac:dyDescent="0.3">
      <c r="A3" t="s">
        <v>24</v>
      </c>
      <c r="B3" t="s">
        <v>25</v>
      </c>
      <c r="C3" t="s">
        <v>26</v>
      </c>
      <c r="E3" t="s">
        <v>27</v>
      </c>
      <c r="F3" t="s">
        <v>28</v>
      </c>
      <c r="G3" t="s">
        <v>36</v>
      </c>
      <c r="H3" s="1" t="s">
        <v>37</v>
      </c>
      <c r="I3" t="s">
        <v>38</v>
      </c>
      <c r="J3" s="2">
        <v>4.8500000000000001E-2</v>
      </c>
      <c r="K3" s="3">
        <v>46934</v>
      </c>
      <c r="L3">
        <v>1197128</v>
      </c>
      <c r="M3">
        <v>1197128</v>
      </c>
      <c r="N3" s="4"/>
      <c r="O3" t="s">
        <v>32</v>
      </c>
      <c r="P3" s="5">
        <v>103800</v>
      </c>
      <c r="Q3" s="4">
        <v>0</v>
      </c>
      <c r="R3" t="s">
        <v>33</v>
      </c>
      <c r="S3" s="4">
        <v>114.2</v>
      </c>
      <c r="T3" s="6">
        <v>118539.6</v>
      </c>
      <c r="U3" s="2">
        <v>9.5100000000000002E-4</v>
      </c>
      <c r="V3" s="2">
        <v>9.5100000000000002E-4</v>
      </c>
      <c r="W3" s="7">
        <v>1</v>
      </c>
      <c r="X3" s="1" t="s">
        <v>39</v>
      </c>
      <c r="Y3" t="s">
        <v>35</v>
      </c>
    </row>
    <row r="4" spans="1:25" x14ac:dyDescent="0.3">
      <c r="A4" t="s">
        <v>24</v>
      </c>
      <c r="B4" t="s">
        <v>25</v>
      </c>
      <c r="D4" t="s">
        <v>40</v>
      </c>
      <c r="E4" t="s">
        <v>27</v>
      </c>
      <c r="F4" t="s">
        <v>5</v>
      </c>
      <c r="G4" t="s">
        <v>41</v>
      </c>
      <c r="H4" s="1" t="s">
        <v>42</v>
      </c>
      <c r="I4" t="s">
        <v>43</v>
      </c>
      <c r="J4" s="2">
        <v>8.9499999999999996E-2</v>
      </c>
      <c r="K4" s="3">
        <v>46203</v>
      </c>
      <c r="L4">
        <v>1187277</v>
      </c>
      <c r="M4">
        <v>1187277</v>
      </c>
      <c r="N4" s="4"/>
      <c r="O4" t="s">
        <v>32</v>
      </c>
      <c r="P4" s="5">
        <v>410149.24</v>
      </c>
      <c r="Q4" s="4">
        <v>0</v>
      </c>
      <c r="R4" t="s">
        <v>33</v>
      </c>
      <c r="S4" s="4">
        <v>101.66</v>
      </c>
      <c r="T4" s="6">
        <v>416957.71737999999</v>
      </c>
      <c r="U4" s="2">
        <v>3.3479999999999998E-3</v>
      </c>
      <c r="V4" s="2">
        <v>3.3479999999999998E-3</v>
      </c>
      <c r="W4" s="7">
        <v>1</v>
      </c>
      <c r="X4" s="1" t="s">
        <v>44</v>
      </c>
      <c r="Y4" t="s">
        <v>35</v>
      </c>
    </row>
    <row r="5" spans="1:25" x14ac:dyDescent="0.3">
      <c r="A5" t="s">
        <v>24</v>
      </c>
      <c r="B5" t="s">
        <v>25</v>
      </c>
      <c r="D5" t="s">
        <v>40</v>
      </c>
      <c r="E5" t="s">
        <v>27</v>
      </c>
      <c r="F5" t="s">
        <v>5</v>
      </c>
      <c r="G5" t="s">
        <v>41</v>
      </c>
      <c r="H5" s="1" t="s">
        <v>45</v>
      </c>
      <c r="I5" t="s">
        <v>46</v>
      </c>
      <c r="J5" s="2">
        <v>6.4000000000000001E-2</v>
      </c>
      <c r="K5" s="3">
        <v>46295</v>
      </c>
      <c r="L5">
        <v>1185883</v>
      </c>
      <c r="M5">
        <v>1185883</v>
      </c>
      <c r="N5" s="4"/>
      <c r="O5" t="s">
        <v>32</v>
      </c>
      <c r="P5" s="5">
        <v>242142.23</v>
      </c>
      <c r="Q5" s="4">
        <v>0</v>
      </c>
      <c r="R5" t="s">
        <v>33</v>
      </c>
      <c r="S5" s="4">
        <v>102.7</v>
      </c>
      <c r="T5" s="6">
        <v>248680.07021000001</v>
      </c>
      <c r="U5" s="2">
        <v>1.9959999999999999E-3</v>
      </c>
      <c r="V5" s="2">
        <v>1.9959999999999999E-3</v>
      </c>
      <c r="W5" s="7">
        <v>1</v>
      </c>
      <c r="X5" s="1" t="s">
        <v>47</v>
      </c>
      <c r="Y5" t="s">
        <v>35</v>
      </c>
    </row>
    <row r="6" spans="1:25" x14ac:dyDescent="0.3">
      <c r="A6" t="s">
        <v>24</v>
      </c>
      <c r="B6" t="s">
        <v>25</v>
      </c>
      <c r="D6" t="s">
        <v>40</v>
      </c>
      <c r="E6" t="s">
        <v>27</v>
      </c>
      <c r="F6" t="s">
        <v>5</v>
      </c>
      <c r="G6" t="s">
        <v>41</v>
      </c>
      <c r="H6" s="1" t="s">
        <v>48</v>
      </c>
      <c r="I6" t="s">
        <v>49</v>
      </c>
      <c r="J6" s="2">
        <v>5.28E-2</v>
      </c>
      <c r="K6" s="3">
        <v>46965</v>
      </c>
      <c r="L6">
        <v>7670250</v>
      </c>
      <c r="M6">
        <v>7670250</v>
      </c>
      <c r="N6" s="4"/>
      <c r="O6" t="s">
        <v>32</v>
      </c>
      <c r="P6" s="5">
        <v>191278.75</v>
      </c>
      <c r="Q6" s="4">
        <v>0</v>
      </c>
      <c r="R6" t="s">
        <v>33</v>
      </c>
      <c r="S6" s="4">
        <v>101.52</v>
      </c>
      <c r="T6" s="6">
        <v>194186.18700000001</v>
      </c>
      <c r="U6" s="2">
        <v>1.5590000000000001E-3</v>
      </c>
      <c r="V6" s="2">
        <v>1.5590000000000001E-3</v>
      </c>
      <c r="W6" s="7">
        <v>1</v>
      </c>
      <c r="X6" s="1" t="s">
        <v>50</v>
      </c>
      <c r="Y6" t="s">
        <v>35</v>
      </c>
    </row>
    <row r="7" spans="1:25" x14ac:dyDescent="0.3">
      <c r="A7" t="s">
        <v>24</v>
      </c>
      <c r="B7" t="s">
        <v>25</v>
      </c>
      <c r="D7" t="s">
        <v>40</v>
      </c>
      <c r="E7" t="s">
        <v>27</v>
      </c>
      <c r="F7" t="s">
        <v>5</v>
      </c>
      <c r="G7" t="s">
        <v>51</v>
      </c>
      <c r="H7" s="1" t="s">
        <v>52</v>
      </c>
      <c r="I7" t="s">
        <v>53</v>
      </c>
      <c r="J7" s="2">
        <v>4.5699999999999998E-2</v>
      </c>
      <c r="K7" s="3">
        <v>46127</v>
      </c>
      <c r="L7">
        <v>1162304</v>
      </c>
      <c r="M7">
        <v>1162304</v>
      </c>
      <c r="N7" s="4"/>
      <c r="O7" t="s">
        <v>32</v>
      </c>
      <c r="P7" s="5">
        <v>731185</v>
      </c>
      <c r="Q7" s="4">
        <v>0</v>
      </c>
      <c r="R7" t="s">
        <v>33</v>
      </c>
      <c r="S7" s="4">
        <v>90.92</v>
      </c>
      <c r="T7" s="6">
        <v>664793.402</v>
      </c>
      <c r="U7" s="2">
        <v>5.3379999999999999E-3</v>
      </c>
      <c r="V7" s="2">
        <v>5.3379999999999999E-3</v>
      </c>
      <c r="W7" s="7">
        <v>1</v>
      </c>
      <c r="X7" s="1" t="s">
        <v>54</v>
      </c>
      <c r="Y7" t="s">
        <v>35</v>
      </c>
    </row>
    <row r="8" spans="1:25" x14ac:dyDescent="0.3">
      <c r="A8" t="s">
        <v>24</v>
      </c>
      <c r="B8" t="s">
        <v>25</v>
      </c>
      <c r="D8" t="s">
        <v>40</v>
      </c>
      <c r="E8" t="s">
        <v>27</v>
      </c>
      <c r="F8" t="s">
        <v>28</v>
      </c>
      <c r="G8" t="s">
        <v>55</v>
      </c>
      <c r="H8" s="1" t="s">
        <v>56</v>
      </c>
      <c r="I8" t="s">
        <v>57</v>
      </c>
      <c r="J8" s="2">
        <v>5.6899999999999999E-2</v>
      </c>
      <c r="K8" s="3">
        <v>48760</v>
      </c>
      <c r="L8">
        <v>1217389</v>
      </c>
      <c r="M8">
        <v>1217389</v>
      </c>
      <c r="N8" s="4"/>
      <c r="O8" t="s">
        <v>32</v>
      </c>
      <c r="P8" s="5">
        <v>258347</v>
      </c>
      <c r="Q8" s="4">
        <v>0</v>
      </c>
      <c r="R8" t="s">
        <v>33</v>
      </c>
      <c r="S8" s="4">
        <v>105.87</v>
      </c>
      <c r="T8" s="6">
        <v>273511.96889999998</v>
      </c>
      <c r="U8" s="2">
        <v>2.196E-3</v>
      </c>
      <c r="V8" s="2">
        <v>2.196E-3</v>
      </c>
      <c r="W8" s="7">
        <v>1</v>
      </c>
      <c r="X8" s="1" t="s">
        <v>58</v>
      </c>
      <c r="Y8" t="s">
        <v>35</v>
      </c>
    </row>
    <row r="9" spans="1:25" x14ac:dyDescent="0.3">
      <c r="A9" t="s">
        <v>24</v>
      </c>
      <c r="B9" t="s">
        <v>25</v>
      </c>
      <c r="D9" t="s">
        <v>40</v>
      </c>
      <c r="E9" t="s">
        <v>27</v>
      </c>
      <c r="F9" t="s">
        <v>28</v>
      </c>
      <c r="G9" t="s">
        <v>55</v>
      </c>
      <c r="H9" s="1" t="s">
        <v>59</v>
      </c>
      <c r="I9" t="s">
        <v>60</v>
      </c>
      <c r="J9" s="2">
        <v>2.5000000000000001E-2</v>
      </c>
      <c r="K9" s="3">
        <v>46757</v>
      </c>
      <c r="L9">
        <v>1143080</v>
      </c>
      <c r="M9">
        <v>1143080</v>
      </c>
      <c r="N9" s="4"/>
      <c r="O9" t="s">
        <v>32</v>
      </c>
      <c r="P9" s="5">
        <v>0.1</v>
      </c>
      <c r="Q9" s="4">
        <v>0</v>
      </c>
      <c r="R9" t="s">
        <v>33</v>
      </c>
      <c r="S9" s="4">
        <v>98.04</v>
      </c>
      <c r="T9" s="6">
        <v>9.8040000000000002E-2</v>
      </c>
      <c r="U9" s="2">
        <v>0</v>
      </c>
      <c r="V9" s="2">
        <v>0</v>
      </c>
      <c r="W9" s="7">
        <v>1</v>
      </c>
      <c r="X9" s="1" t="s">
        <v>61</v>
      </c>
      <c r="Y9" t="s">
        <v>35</v>
      </c>
    </row>
    <row r="10" spans="1:25" x14ac:dyDescent="0.3">
      <c r="A10" t="s">
        <v>24</v>
      </c>
      <c r="B10" t="s">
        <v>25</v>
      </c>
      <c r="D10" t="s">
        <v>40</v>
      </c>
      <c r="E10" t="s">
        <v>27</v>
      </c>
      <c r="F10" t="s">
        <v>28</v>
      </c>
      <c r="G10" t="s">
        <v>55</v>
      </c>
      <c r="H10" s="1" t="s">
        <v>62</v>
      </c>
      <c r="I10" t="s">
        <v>63</v>
      </c>
      <c r="J10" s="2">
        <v>7.4999999999999997E-2</v>
      </c>
      <c r="K10" s="3">
        <v>47573</v>
      </c>
      <c r="L10">
        <v>1204718</v>
      </c>
      <c r="M10">
        <v>1204718</v>
      </c>
      <c r="N10" s="4"/>
      <c r="O10" t="s">
        <v>32</v>
      </c>
      <c r="P10" s="5">
        <v>311052</v>
      </c>
      <c r="Q10" s="4">
        <v>0</v>
      </c>
      <c r="R10" t="s">
        <v>33</v>
      </c>
      <c r="S10" s="4">
        <v>98.09</v>
      </c>
      <c r="T10" s="6">
        <v>305110.9068</v>
      </c>
      <c r="U10" s="2">
        <v>2.4499999999999999E-3</v>
      </c>
      <c r="V10" s="2">
        <v>2.4499999999999999E-3</v>
      </c>
      <c r="W10" s="7">
        <v>1</v>
      </c>
      <c r="X10" s="1" t="s">
        <v>64</v>
      </c>
      <c r="Y10" t="s">
        <v>35</v>
      </c>
    </row>
    <row r="11" spans="1:25" x14ac:dyDescent="0.3">
      <c r="A11" t="s">
        <v>24</v>
      </c>
      <c r="B11" t="s">
        <v>25</v>
      </c>
      <c r="D11" t="s">
        <v>40</v>
      </c>
      <c r="E11" t="s">
        <v>27</v>
      </c>
      <c r="F11" t="s">
        <v>28</v>
      </c>
      <c r="G11" t="s">
        <v>55</v>
      </c>
      <c r="H11" s="1" t="s">
        <v>65</v>
      </c>
      <c r="I11" t="s">
        <v>66</v>
      </c>
      <c r="J11" s="2">
        <v>8.8999999999999996E-2</v>
      </c>
      <c r="K11" s="3">
        <v>46387</v>
      </c>
      <c r="L11">
        <v>1198175</v>
      </c>
      <c r="M11">
        <v>1198175</v>
      </c>
      <c r="N11" s="4"/>
      <c r="O11" t="s">
        <v>32</v>
      </c>
      <c r="P11" s="5">
        <v>221465.48</v>
      </c>
      <c r="Q11" s="4">
        <v>0</v>
      </c>
      <c r="R11" t="s">
        <v>33</v>
      </c>
      <c r="S11" s="4">
        <v>103</v>
      </c>
      <c r="T11" s="6">
        <v>228109.44440000001</v>
      </c>
      <c r="U11" s="2">
        <v>1.8309999999999999E-3</v>
      </c>
      <c r="V11" s="2">
        <v>1.8309999999999999E-3</v>
      </c>
      <c r="W11" s="7">
        <v>1</v>
      </c>
      <c r="X11" s="1" t="s">
        <v>67</v>
      </c>
      <c r="Y11" t="s">
        <v>35</v>
      </c>
    </row>
    <row r="12" spans="1:25" x14ac:dyDescent="0.3">
      <c r="A12" t="s">
        <v>24</v>
      </c>
      <c r="B12" t="s">
        <v>25</v>
      </c>
      <c r="D12" t="s">
        <v>40</v>
      </c>
      <c r="E12" t="s">
        <v>27</v>
      </c>
      <c r="F12" t="s">
        <v>28</v>
      </c>
      <c r="G12" t="s">
        <v>55</v>
      </c>
      <c r="H12" s="1" t="s">
        <v>68</v>
      </c>
      <c r="I12" t="s">
        <v>69</v>
      </c>
      <c r="J12" s="2">
        <v>5.5E-2</v>
      </c>
      <c r="K12" s="3">
        <v>47573</v>
      </c>
      <c r="L12">
        <v>1203074</v>
      </c>
      <c r="M12">
        <v>1203074</v>
      </c>
      <c r="N12" s="4"/>
      <c r="O12" t="s">
        <v>32</v>
      </c>
      <c r="P12" s="5">
        <v>262199</v>
      </c>
      <c r="Q12" s="4">
        <v>0</v>
      </c>
      <c r="R12" t="s">
        <v>33</v>
      </c>
      <c r="S12" s="4">
        <v>101.65</v>
      </c>
      <c r="T12" s="6">
        <v>266525.28350000002</v>
      </c>
      <c r="U12" s="2">
        <v>2.14E-3</v>
      </c>
      <c r="V12" s="2">
        <v>2.14E-3</v>
      </c>
      <c r="W12" s="7">
        <v>1</v>
      </c>
      <c r="X12" s="1" t="s">
        <v>70</v>
      </c>
      <c r="Y12" t="s">
        <v>35</v>
      </c>
    </row>
    <row r="13" spans="1:25" x14ac:dyDescent="0.3">
      <c r="A13" t="s">
        <v>24</v>
      </c>
      <c r="B13" t="s">
        <v>25</v>
      </c>
      <c r="D13" t="s">
        <v>40</v>
      </c>
      <c r="E13" t="s">
        <v>27</v>
      </c>
      <c r="F13" t="s">
        <v>28</v>
      </c>
      <c r="G13" t="s">
        <v>55</v>
      </c>
      <c r="H13" s="1" t="s">
        <v>71</v>
      </c>
      <c r="I13" t="s">
        <v>72</v>
      </c>
      <c r="J13" s="2">
        <v>1.4999999999999999E-2</v>
      </c>
      <c r="K13" s="3">
        <v>47363</v>
      </c>
      <c r="L13">
        <v>7200256</v>
      </c>
      <c r="M13">
        <v>7200256</v>
      </c>
      <c r="N13" s="4"/>
      <c r="O13" t="s">
        <v>32</v>
      </c>
      <c r="P13" s="5">
        <v>355810</v>
      </c>
      <c r="Q13" s="4">
        <v>0</v>
      </c>
      <c r="R13" t="s">
        <v>33</v>
      </c>
      <c r="S13" s="4">
        <v>93.08</v>
      </c>
      <c r="T13" s="6">
        <v>331187.94799999997</v>
      </c>
      <c r="U13" s="2">
        <v>2.6589999999999999E-3</v>
      </c>
      <c r="V13" s="2">
        <v>2.6589999999999999E-3</v>
      </c>
      <c r="W13" s="7">
        <v>1</v>
      </c>
      <c r="X13" s="1" t="s">
        <v>73</v>
      </c>
      <c r="Y13" t="s">
        <v>35</v>
      </c>
    </row>
    <row r="14" spans="1:25" x14ac:dyDescent="0.3">
      <c r="A14" t="s">
        <v>24</v>
      </c>
      <c r="B14" t="s">
        <v>25</v>
      </c>
      <c r="D14" t="s">
        <v>40</v>
      </c>
      <c r="E14" t="s">
        <v>27</v>
      </c>
      <c r="F14" t="s">
        <v>28</v>
      </c>
      <c r="G14" t="s">
        <v>55</v>
      </c>
      <c r="H14" s="1" t="s">
        <v>74</v>
      </c>
      <c r="I14" t="s">
        <v>72</v>
      </c>
      <c r="J14" s="2">
        <v>3.4500000000000003E-2</v>
      </c>
      <c r="K14" s="3">
        <v>46266</v>
      </c>
      <c r="L14">
        <v>7200173</v>
      </c>
      <c r="M14">
        <v>7200173</v>
      </c>
      <c r="N14" s="4"/>
      <c r="O14" t="s">
        <v>32</v>
      </c>
      <c r="P14" s="5">
        <v>112427.21</v>
      </c>
      <c r="Q14" s="4">
        <v>0</v>
      </c>
      <c r="R14" t="s">
        <v>33</v>
      </c>
      <c r="S14" s="4">
        <v>99.27</v>
      </c>
      <c r="T14" s="6">
        <v>111606.49137</v>
      </c>
      <c r="U14" s="2">
        <v>8.9599999999999999E-4</v>
      </c>
      <c r="V14" s="2">
        <v>8.9599999999999999E-4</v>
      </c>
      <c r="W14" s="7">
        <v>1</v>
      </c>
      <c r="X14" s="1" t="s">
        <v>75</v>
      </c>
      <c r="Y14" t="s">
        <v>35</v>
      </c>
    </row>
    <row r="15" spans="1:25" x14ac:dyDescent="0.3">
      <c r="A15" t="s">
        <v>24</v>
      </c>
      <c r="B15" t="s">
        <v>25</v>
      </c>
      <c r="D15" t="s">
        <v>40</v>
      </c>
      <c r="E15" t="s">
        <v>27</v>
      </c>
      <c r="F15" t="s">
        <v>28</v>
      </c>
      <c r="G15" t="s">
        <v>55</v>
      </c>
      <c r="H15" s="1" t="s">
        <v>76</v>
      </c>
      <c r="I15" t="s">
        <v>77</v>
      </c>
      <c r="J15" s="2">
        <v>2.0500000000000001E-2</v>
      </c>
      <c r="K15" s="3">
        <v>47696</v>
      </c>
      <c r="L15">
        <v>1161751</v>
      </c>
      <c r="M15">
        <v>1161751</v>
      </c>
      <c r="N15" s="4"/>
      <c r="O15" t="s">
        <v>32</v>
      </c>
      <c r="P15" s="5">
        <v>300602.90000000002</v>
      </c>
      <c r="Q15" s="4">
        <v>0</v>
      </c>
      <c r="R15" t="s">
        <v>33</v>
      </c>
      <c r="S15" s="4">
        <v>94.64</v>
      </c>
      <c r="T15" s="6">
        <v>284490.58455999999</v>
      </c>
      <c r="U15" s="2">
        <v>2.284E-3</v>
      </c>
      <c r="V15" s="2">
        <v>2.284E-3</v>
      </c>
      <c r="W15" s="7">
        <v>1</v>
      </c>
      <c r="X15" s="1" t="s">
        <v>78</v>
      </c>
      <c r="Y15" t="s">
        <v>35</v>
      </c>
    </row>
    <row r="16" spans="1:25" x14ac:dyDescent="0.3">
      <c r="A16" t="s">
        <v>24</v>
      </c>
      <c r="B16" t="s">
        <v>25</v>
      </c>
      <c r="D16" t="s">
        <v>40</v>
      </c>
      <c r="E16" t="s">
        <v>27</v>
      </c>
      <c r="F16" t="s">
        <v>28</v>
      </c>
      <c r="G16" t="s">
        <v>55</v>
      </c>
      <c r="H16" s="1" t="s">
        <v>79</v>
      </c>
      <c r="I16" t="s">
        <v>80</v>
      </c>
      <c r="J16" s="2">
        <v>1.0800000000000001E-2</v>
      </c>
      <c r="K16" s="3">
        <v>47300</v>
      </c>
      <c r="L16">
        <v>1178235</v>
      </c>
      <c r="M16">
        <v>1178235</v>
      </c>
      <c r="N16" s="4"/>
      <c r="O16" t="s">
        <v>32</v>
      </c>
      <c r="P16" s="5">
        <v>150455.79999999999</v>
      </c>
      <c r="Q16" s="4">
        <v>0</v>
      </c>
      <c r="R16" t="s">
        <v>33</v>
      </c>
      <c r="S16" s="4">
        <v>95.43</v>
      </c>
      <c r="T16" s="6">
        <v>143579.96994000001</v>
      </c>
      <c r="U16" s="2">
        <v>1.152E-3</v>
      </c>
      <c r="V16" s="2">
        <v>1.152E-3</v>
      </c>
      <c r="W16" s="7">
        <v>1</v>
      </c>
      <c r="X16" s="1" t="s">
        <v>81</v>
      </c>
      <c r="Y16" t="s">
        <v>35</v>
      </c>
    </row>
    <row r="17" spans="1:25" x14ac:dyDescent="0.3">
      <c r="A17" t="s">
        <v>24</v>
      </c>
      <c r="B17" t="s">
        <v>25</v>
      </c>
      <c r="D17" t="s">
        <v>40</v>
      </c>
      <c r="E17" t="s">
        <v>27</v>
      </c>
      <c r="F17" t="s">
        <v>28</v>
      </c>
      <c r="G17" t="s">
        <v>55</v>
      </c>
      <c r="H17" s="1" t="s">
        <v>82</v>
      </c>
      <c r="I17" t="s">
        <v>83</v>
      </c>
      <c r="J17" s="2">
        <v>2.8000000000000001E-2</v>
      </c>
      <c r="K17" s="3">
        <v>46386</v>
      </c>
      <c r="L17">
        <v>1161678</v>
      </c>
      <c r="M17">
        <v>1161678</v>
      </c>
      <c r="N17" s="4"/>
      <c r="O17" t="s">
        <v>32</v>
      </c>
      <c r="P17" s="5">
        <v>178623.02</v>
      </c>
      <c r="Q17" s="4">
        <v>0</v>
      </c>
      <c r="R17" t="s">
        <v>33</v>
      </c>
      <c r="S17" s="4">
        <v>98.88</v>
      </c>
      <c r="T17" s="6">
        <v>176622.44218000001</v>
      </c>
      <c r="U17" s="2">
        <v>1.418E-3</v>
      </c>
      <c r="V17" s="2">
        <v>1.418E-3</v>
      </c>
      <c r="W17" s="7">
        <v>1</v>
      </c>
      <c r="X17" s="1" t="s">
        <v>84</v>
      </c>
      <c r="Y17" t="s">
        <v>35</v>
      </c>
    </row>
    <row r="18" spans="1:25" x14ac:dyDescent="0.3">
      <c r="A18" t="s">
        <v>24</v>
      </c>
      <c r="B18" t="s">
        <v>25</v>
      </c>
      <c r="D18" t="s">
        <v>40</v>
      </c>
      <c r="E18" t="s">
        <v>27</v>
      </c>
      <c r="F18" t="s">
        <v>28</v>
      </c>
      <c r="G18" t="s">
        <v>55</v>
      </c>
      <c r="H18" s="1" t="s">
        <v>85</v>
      </c>
      <c r="I18" t="s">
        <v>86</v>
      </c>
      <c r="J18" s="2">
        <v>5.0299999999999997E-2</v>
      </c>
      <c r="K18" s="3">
        <v>48203</v>
      </c>
      <c r="L18">
        <v>1224690</v>
      </c>
      <c r="M18">
        <v>1224690</v>
      </c>
      <c r="N18" s="4"/>
      <c r="O18" t="s">
        <v>32</v>
      </c>
      <c r="P18" s="5">
        <v>150000</v>
      </c>
      <c r="Q18" s="4">
        <v>0</v>
      </c>
      <c r="R18" t="s">
        <v>33</v>
      </c>
      <c r="S18" s="4">
        <v>103.02</v>
      </c>
      <c r="T18" s="6">
        <v>154530</v>
      </c>
      <c r="U18" s="2">
        <v>1.24E-3</v>
      </c>
      <c r="V18" s="2">
        <v>1.24E-3</v>
      </c>
      <c r="W18" s="7">
        <v>1</v>
      </c>
      <c r="X18" s="1" t="s">
        <v>87</v>
      </c>
      <c r="Y18" t="s">
        <v>35</v>
      </c>
    </row>
    <row r="19" spans="1:25" x14ac:dyDescent="0.3">
      <c r="A19" t="s">
        <v>24</v>
      </c>
      <c r="B19" t="s">
        <v>25</v>
      </c>
      <c r="D19" t="s">
        <v>40</v>
      </c>
      <c r="E19" t="s">
        <v>27</v>
      </c>
      <c r="F19" t="s">
        <v>28</v>
      </c>
      <c r="G19" t="s">
        <v>55</v>
      </c>
      <c r="H19" s="1" t="s">
        <v>88</v>
      </c>
      <c r="I19" t="s">
        <v>89</v>
      </c>
      <c r="J19" s="2">
        <v>2.6499999999999999E-2</v>
      </c>
      <c r="K19" s="3">
        <v>46629</v>
      </c>
      <c r="L19">
        <v>1141852</v>
      </c>
      <c r="M19">
        <v>1141852</v>
      </c>
      <c r="N19" s="4"/>
      <c r="O19" t="s">
        <v>32</v>
      </c>
      <c r="P19" s="5">
        <v>337979.46</v>
      </c>
      <c r="Q19" s="4">
        <v>0</v>
      </c>
      <c r="R19" t="s">
        <v>33</v>
      </c>
      <c r="S19" s="4">
        <v>98.03</v>
      </c>
      <c r="T19" s="6">
        <v>331321.26464000001</v>
      </c>
      <c r="U19" s="2">
        <v>2.66E-3</v>
      </c>
      <c r="V19" s="2">
        <v>2.66E-3</v>
      </c>
      <c r="W19" s="7">
        <v>1</v>
      </c>
      <c r="X19" s="1" t="s">
        <v>90</v>
      </c>
      <c r="Y19" t="s">
        <v>35</v>
      </c>
    </row>
    <row r="20" spans="1:25" x14ac:dyDescent="0.3">
      <c r="A20" t="s">
        <v>24</v>
      </c>
      <c r="B20" t="s">
        <v>25</v>
      </c>
      <c r="D20" t="s">
        <v>40</v>
      </c>
      <c r="E20" t="s">
        <v>27</v>
      </c>
      <c r="F20" t="s">
        <v>28</v>
      </c>
      <c r="G20" t="s">
        <v>55</v>
      </c>
      <c r="H20" s="1" t="s">
        <v>91</v>
      </c>
      <c r="I20" t="s">
        <v>92</v>
      </c>
      <c r="J20" s="2">
        <v>4.19E-2</v>
      </c>
      <c r="K20" s="3">
        <v>46568</v>
      </c>
      <c r="L20">
        <v>7710262</v>
      </c>
      <c r="M20">
        <v>7710262</v>
      </c>
      <c r="N20" s="4"/>
      <c r="O20" t="s">
        <v>32</v>
      </c>
      <c r="P20" s="5">
        <v>2209715.0699999998</v>
      </c>
      <c r="Q20" s="4">
        <v>0</v>
      </c>
      <c r="R20" t="s">
        <v>33</v>
      </c>
      <c r="S20" s="4">
        <v>97.88</v>
      </c>
      <c r="T20" s="6">
        <v>2162869.1105200001</v>
      </c>
      <c r="U20" s="2">
        <v>1.7368000000000001E-2</v>
      </c>
      <c r="V20" s="2">
        <v>1.7368000000000001E-2</v>
      </c>
      <c r="W20" s="7">
        <v>1</v>
      </c>
      <c r="X20" s="1" t="s">
        <v>93</v>
      </c>
      <c r="Y20" t="s">
        <v>35</v>
      </c>
    </row>
    <row r="21" spans="1:25" x14ac:dyDescent="0.3">
      <c r="A21" t="s">
        <v>24</v>
      </c>
      <c r="B21" t="s">
        <v>25</v>
      </c>
      <c r="D21" t="s">
        <v>40</v>
      </c>
      <c r="E21" t="s">
        <v>27</v>
      </c>
      <c r="F21" t="s">
        <v>28</v>
      </c>
      <c r="G21" t="s">
        <v>55</v>
      </c>
      <c r="H21" s="1" t="s">
        <v>94</v>
      </c>
      <c r="I21" t="s">
        <v>92</v>
      </c>
      <c r="J21" s="2">
        <v>6.25E-2</v>
      </c>
      <c r="K21" s="3">
        <v>46568</v>
      </c>
      <c r="L21">
        <v>7710296</v>
      </c>
      <c r="M21">
        <v>7710296</v>
      </c>
      <c r="N21" s="4"/>
      <c r="O21" t="s">
        <v>32</v>
      </c>
      <c r="P21" s="5">
        <v>154716.34</v>
      </c>
      <c r="Q21" s="4">
        <v>0</v>
      </c>
      <c r="R21" t="s">
        <v>33</v>
      </c>
      <c r="S21" s="4">
        <v>99.18</v>
      </c>
      <c r="T21" s="6">
        <v>153447.66600999999</v>
      </c>
      <c r="U21" s="2">
        <v>1.232E-3</v>
      </c>
      <c r="V21" s="2">
        <v>1.232E-3</v>
      </c>
      <c r="W21" s="7">
        <v>1</v>
      </c>
      <c r="X21" s="1" t="s">
        <v>95</v>
      </c>
      <c r="Y21" t="s">
        <v>35</v>
      </c>
    </row>
    <row r="22" spans="1:25" x14ac:dyDescent="0.3">
      <c r="A22" t="s">
        <v>24</v>
      </c>
      <c r="B22" t="s">
        <v>25</v>
      </c>
      <c r="D22" t="s">
        <v>40</v>
      </c>
      <c r="E22" t="s">
        <v>27</v>
      </c>
      <c r="F22" t="s">
        <v>28</v>
      </c>
      <c r="G22" t="s">
        <v>55</v>
      </c>
      <c r="H22" s="1" t="s">
        <v>96</v>
      </c>
      <c r="I22" t="s">
        <v>97</v>
      </c>
      <c r="J22" s="2">
        <v>9.1399999999999995E-2</v>
      </c>
      <c r="K22" s="3">
        <v>46477</v>
      </c>
      <c r="L22">
        <v>1208933</v>
      </c>
      <c r="M22">
        <v>1208933</v>
      </c>
      <c r="N22" s="4"/>
      <c r="O22" t="s">
        <v>32</v>
      </c>
      <c r="P22" s="5">
        <v>303154.2</v>
      </c>
      <c r="Q22" s="4">
        <v>0</v>
      </c>
      <c r="R22" t="s">
        <v>33</v>
      </c>
      <c r="S22" s="4">
        <v>104.81</v>
      </c>
      <c r="T22" s="6">
        <v>317735.91701999999</v>
      </c>
      <c r="U22" s="2">
        <v>2.5509999999999999E-3</v>
      </c>
      <c r="V22" s="2">
        <v>2.5509999999999999E-3</v>
      </c>
      <c r="W22" s="7">
        <v>1</v>
      </c>
      <c r="X22" s="1" t="s">
        <v>98</v>
      </c>
      <c r="Y22" t="s">
        <v>35</v>
      </c>
    </row>
    <row r="23" spans="1:25" x14ac:dyDescent="0.3">
      <c r="A23" t="s">
        <v>24</v>
      </c>
      <c r="B23" t="s">
        <v>25</v>
      </c>
      <c r="D23" t="s">
        <v>40</v>
      </c>
      <c r="E23" t="s">
        <v>27</v>
      </c>
      <c r="F23" t="s">
        <v>28</v>
      </c>
      <c r="G23" t="s">
        <v>55</v>
      </c>
      <c r="H23" s="1" t="s">
        <v>99</v>
      </c>
      <c r="I23" t="s">
        <v>97</v>
      </c>
      <c r="J23" s="2">
        <v>9.5299999999999996E-2</v>
      </c>
      <c r="K23" s="3">
        <v>47300</v>
      </c>
      <c r="L23">
        <v>1227305</v>
      </c>
      <c r="M23">
        <v>1227305</v>
      </c>
      <c r="N23" s="4"/>
      <c r="O23" t="s">
        <v>32</v>
      </c>
      <c r="P23" s="5">
        <v>436460</v>
      </c>
      <c r="Q23" s="4">
        <v>0</v>
      </c>
      <c r="R23" t="s">
        <v>33</v>
      </c>
      <c r="S23" s="4">
        <v>101.65</v>
      </c>
      <c r="T23" s="6">
        <v>443661.59</v>
      </c>
      <c r="U23" s="2">
        <v>3.5620000000000001E-3</v>
      </c>
      <c r="V23" s="2">
        <v>3.5620000000000001E-3</v>
      </c>
      <c r="W23" s="7">
        <v>1</v>
      </c>
      <c r="X23" s="1" t="s">
        <v>100</v>
      </c>
      <c r="Y23" t="s">
        <v>35</v>
      </c>
    </row>
    <row r="24" spans="1:25" x14ac:dyDescent="0.3">
      <c r="A24" t="s">
        <v>24</v>
      </c>
      <c r="B24" t="s">
        <v>25</v>
      </c>
      <c r="D24" t="s">
        <v>40</v>
      </c>
      <c r="E24" t="s">
        <v>27</v>
      </c>
      <c r="F24" t="s">
        <v>28</v>
      </c>
      <c r="G24" t="s">
        <v>55</v>
      </c>
      <c r="H24" s="1" t="s">
        <v>101</v>
      </c>
      <c r="I24" t="s">
        <v>102</v>
      </c>
      <c r="J24" s="2">
        <v>6.59E-2</v>
      </c>
      <c r="K24" s="3">
        <v>48029</v>
      </c>
      <c r="L24">
        <v>1217892</v>
      </c>
      <c r="M24">
        <v>1217892</v>
      </c>
      <c r="N24" s="4"/>
      <c r="O24" t="s">
        <v>32</v>
      </c>
      <c r="P24" s="5">
        <v>400000</v>
      </c>
      <c r="Q24" s="4">
        <v>0</v>
      </c>
      <c r="R24" t="s">
        <v>33</v>
      </c>
      <c r="S24" s="4">
        <v>99.81</v>
      </c>
      <c r="T24" s="6">
        <v>399240</v>
      </c>
      <c r="U24" s="2">
        <v>3.2049999999999999E-3</v>
      </c>
      <c r="V24" s="2">
        <v>3.2049999999999999E-3</v>
      </c>
      <c r="W24" s="7">
        <v>1</v>
      </c>
      <c r="X24" s="1" t="s">
        <v>103</v>
      </c>
      <c r="Y24" t="s">
        <v>35</v>
      </c>
    </row>
    <row r="25" spans="1:25" x14ac:dyDescent="0.3">
      <c r="A25" t="s">
        <v>24</v>
      </c>
      <c r="B25" t="s">
        <v>25</v>
      </c>
      <c r="D25" t="s">
        <v>40</v>
      </c>
      <c r="E25" t="s">
        <v>27</v>
      </c>
      <c r="F25" t="s">
        <v>28</v>
      </c>
      <c r="G25" t="s">
        <v>55</v>
      </c>
      <c r="H25" s="1" t="s">
        <v>104</v>
      </c>
      <c r="I25" t="s">
        <v>105</v>
      </c>
      <c r="J25" s="2">
        <v>7.2499999999999995E-2</v>
      </c>
      <c r="K25" s="3">
        <v>47238</v>
      </c>
      <c r="L25">
        <v>1199488</v>
      </c>
      <c r="M25">
        <v>1199488</v>
      </c>
      <c r="N25" s="4"/>
      <c r="O25" t="s">
        <v>32</v>
      </c>
      <c r="P25" s="5">
        <v>100102.89</v>
      </c>
      <c r="Q25" s="4">
        <v>0</v>
      </c>
      <c r="R25" t="s">
        <v>33</v>
      </c>
      <c r="S25" s="4">
        <v>105.73</v>
      </c>
      <c r="T25" s="6">
        <v>105838.7856</v>
      </c>
      <c r="U25" s="2">
        <v>8.4900000000000004E-4</v>
      </c>
      <c r="V25" s="2">
        <v>8.4900000000000004E-4</v>
      </c>
      <c r="W25" s="7">
        <v>1</v>
      </c>
      <c r="X25" s="1" t="s">
        <v>106</v>
      </c>
      <c r="Y25" t="s">
        <v>35</v>
      </c>
    </row>
    <row r="26" spans="1:25" x14ac:dyDescent="0.3">
      <c r="A26" t="s">
        <v>24</v>
      </c>
      <c r="B26" t="s">
        <v>25</v>
      </c>
      <c r="D26" t="s">
        <v>40</v>
      </c>
      <c r="E26" t="s">
        <v>27</v>
      </c>
      <c r="F26" t="s">
        <v>28</v>
      </c>
      <c r="G26" t="s">
        <v>55</v>
      </c>
      <c r="H26" s="1" t="s">
        <v>107</v>
      </c>
      <c r="I26" t="s">
        <v>108</v>
      </c>
      <c r="J26" s="2">
        <v>4.2999999999999997E-2</v>
      </c>
      <c r="K26" s="3">
        <v>47133</v>
      </c>
      <c r="L26">
        <v>1140102</v>
      </c>
      <c r="M26">
        <v>1140102</v>
      </c>
      <c r="N26" s="4"/>
      <c r="O26" t="s">
        <v>32</v>
      </c>
      <c r="P26" s="5">
        <v>39371.74</v>
      </c>
      <c r="Q26" s="4">
        <v>0</v>
      </c>
      <c r="R26" t="s">
        <v>33</v>
      </c>
      <c r="S26" s="4">
        <v>100.01</v>
      </c>
      <c r="T26" s="6">
        <v>39375.677170000003</v>
      </c>
      <c r="U26" s="2">
        <v>3.1599999999999998E-4</v>
      </c>
      <c r="V26" s="2">
        <v>3.1599999999999998E-4</v>
      </c>
      <c r="W26" s="7">
        <v>1</v>
      </c>
      <c r="X26" s="1" t="s">
        <v>109</v>
      </c>
      <c r="Y26" t="s">
        <v>35</v>
      </c>
    </row>
    <row r="27" spans="1:25" x14ac:dyDescent="0.3">
      <c r="A27" t="s">
        <v>24</v>
      </c>
      <c r="B27" t="s">
        <v>25</v>
      </c>
      <c r="D27" t="s">
        <v>40</v>
      </c>
      <c r="E27" t="s">
        <v>27</v>
      </c>
      <c r="F27" t="s">
        <v>28</v>
      </c>
      <c r="G27" t="s">
        <v>55</v>
      </c>
      <c r="H27" s="1" t="s">
        <v>110</v>
      </c>
      <c r="I27" t="s">
        <v>111</v>
      </c>
      <c r="J27" s="2">
        <v>9.5000000000000001E-2</v>
      </c>
      <c r="K27" s="3">
        <v>46568</v>
      </c>
      <c r="L27">
        <v>1196542</v>
      </c>
      <c r="M27">
        <v>1196542</v>
      </c>
      <c r="N27" s="4"/>
      <c r="O27" t="s">
        <v>32</v>
      </c>
      <c r="P27" s="5">
        <v>86095.79</v>
      </c>
      <c r="Q27" s="4">
        <v>0</v>
      </c>
      <c r="R27" t="s">
        <v>33</v>
      </c>
      <c r="S27" s="4">
        <v>103.72</v>
      </c>
      <c r="T27" s="6">
        <v>89298.553390000001</v>
      </c>
      <c r="U27" s="2">
        <v>7.1699999999999997E-4</v>
      </c>
      <c r="V27" s="2">
        <v>7.1699999999999997E-4</v>
      </c>
      <c r="W27" s="7">
        <v>1</v>
      </c>
      <c r="X27" s="1" t="s">
        <v>112</v>
      </c>
      <c r="Y27" t="s">
        <v>35</v>
      </c>
    </row>
    <row r="28" spans="1:25" x14ac:dyDescent="0.3">
      <c r="A28" t="s">
        <v>24</v>
      </c>
      <c r="B28" t="s">
        <v>25</v>
      </c>
      <c r="D28" t="s">
        <v>40</v>
      </c>
      <c r="E28" t="s">
        <v>27</v>
      </c>
      <c r="F28" t="s">
        <v>28</v>
      </c>
      <c r="G28" t="s">
        <v>55</v>
      </c>
      <c r="H28" s="1" t="s">
        <v>113</v>
      </c>
      <c r="I28" t="s">
        <v>111</v>
      </c>
      <c r="J28" s="2">
        <v>7.1999999999999995E-2</v>
      </c>
      <c r="K28" s="3">
        <v>47118</v>
      </c>
      <c r="L28">
        <v>1211770</v>
      </c>
      <c r="M28">
        <v>1211770</v>
      </c>
      <c r="N28" s="4"/>
      <c r="O28" t="s">
        <v>32</v>
      </c>
      <c r="P28" s="5">
        <v>317469</v>
      </c>
      <c r="Q28" s="4">
        <v>0</v>
      </c>
      <c r="R28" t="s">
        <v>33</v>
      </c>
      <c r="S28" s="4">
        <v>102.11</v>
      </c>
      <c r="T28" s="6">
        <v>324167.59590000001</v>
      </c>
      <c r="U28" s="2">
        <v>2.6029999999999998E-3</v>
      </c>
      <c r="V28" s="2">
        <v>2.6029999999999998E-3</v>
      </c>
      <c r="W28" s="7">
        <v>1</v>
      </c>
      <c r="X28" s="1" t="s">
        <v>114</v>
      </c>
      <c r="Y28" t="s">
        <v>35</v>
      </c>
    </row>
    <row r="29" spans="1:25" x14ac:dyDescent="0.3">
      <c r="A29" t="s">
        <v>24</v>
      </c>
      <c r="B29" t="s">
        <v>25</v>
      </c>
      <c r="D29" t="s">
        <v>40</v>
      </c>
      <c r="E29" t="s">
        <v>27</v>
      </c>
      <c r="F29" t="s">
        <v>28</v>
      </c>
      <c r="G29" t="s">
        <v>55</v>
      </c>
      <c r="H29" s="1" t="s">
        <v>115</v>
      </c>
      <c r="I29" t="s">
        <v>111</v>
      </c>
      <c r="J29" s="2">
        <v>6.8000000000000005E-2</v>
      </c>
      <c r="K29" s="3">
        <v>47664</v>
      </c>
      <c r="L29">
        <v>1225929</v>
      </c>
      <c r="M29">
        <v>1225929</v>
      </c>
      <c r="N29" s="4"/>
      <c r="O29" t="s">
        <v>32</v>
      </c>
      <c r="P29" s="5">
        <v>1963865</v>
      </c>
      <c r="Q29" s="4">
        <v>0</v>
      </c>
      <c r="R29" t="s">
        <v>33</v>
      </c>
      <c r="S29" s="4">
        <v>99.5</v>
      </c>
      <c r="T29" s="6">
        <v>1954045.675</v>
      </c>
      <c r="U29" s="2">
        <v>1.5691E-2</v>
      </c>
      <c r="V29" s="2">
        <v>1.5691E-2</v>
      </c>
      <c r="W29" s="7">
        <v>1</v>
      </c>
      <c r="X29" s="1" t="s">
        <v>116</v>
      </c>
      <c r="Y29" t="s">
        <v>35</v>
      </c>
    </row>
    <row r="30" spans="1:25" x14ac:dyDescent="0.3">
      <c r="A30" t="s">
        <v>24</v>
      </c>
      <c r="B30" t="s">
        <v>25</v>
      </c>
      <c r="D30" t="s">
        <v>40</v>
      </c>
      <c r="E30" t="s">
        <v>27</v>
      </c>
      <c r="F30" t="s">
        <v>28</v>
      </c>
      <c r="G30" t="s">
        <v>55</v>
      </c>
      <c r="H30" s="1" t="s">
        <v>117</v>
      </c>
      <c r="I30" t="s">
        <v>118</v>
      </c>
      <c r="J30" s="2">
        <v>3.2000000000000001E-2</v>
      </c>
      <c r="K30" s="3">
        <v>47330</v>
      </c>
      <c r="L30">
        <v>1195569</v>
      </c>
      <c r="M30">
        <v>1195569</v>
      </c>
      <c r="N30" s="4"/>
      <c r="O30" t="s">
        <v>32</v>
      </c>
      <c r="P30" s="5">
        <v>120946</v>
      </c>
      <c r="Q30" s="4">
        <v>0</v>
      </c>
      <c r="R30" t="s">
        <v>33</v>
      </c>
      <c r="S30" s="4">
        <v>99.59</v>
      </c>
      <c r="T30" s="6">
        <v>120450.1214</v>
      </c>
      <c r="U30" s="2">
        <v>9.6699999999999998E-4</v>
      </c>
      <c r="V30" s="2">
        <v>9.6699999999999998E-4</v>
      </c>
      <c r="W30" s="7">
        <v>1</v>
      </c>
      <c r="X30" s="1" t="s">
        <v>119</v>
      </c>
      <c r="Y30" t="s">
        <v>35</v>
      </c>
    </row>
    <row r="31" spans="1:25" x14ac:dyDescent="0.3">
      <c r="A31" t="s">
        <v>24</v>
      </c>
      <c r="B31" t="s">
        <v>25</v>
      </c>
      <c r="D31" t="s">
        <v>40</v>
      </c>
      <c r="E31" t="s">
        <v>27</v>
      </c>
      <c r="F31" t="s">
        <v>28</v>
      </c>
      <c r="G31" t="s">
        <v>55</v>
      </c>
      <c r="H31" s="1" t="s">
        <v>120</v>
      </c>
      <c r="I31" t="s">
        <v>121</v>
      </c>
      <c r="J31" s="2">
        <v>2.7E-2</v>
      </c>
      <c r="K31" s="3">
        <v>48116</v>
      </c>
      <c r="L31">
        <v>2590511</v>
      </c>
      <c r="M31">
        <v>2590511</v>
      </c>
      <c r="N31" s="4"/>
      <c r="O31" t="s">
        <v>32</v>
      </c>
      <c r="P31" s="5">
        <v>242983.67999999999</v>
      </c>
      <c r="Q31" s="4">
        <v>0</v>
      </c>
      <c r="R31" t="s">
        <v>33</v>
      </c>
      <c r="S31" s="4">
        <v>97.54</v>
      </c>
      <c r="T31" s="6">
        <v>237006.28146999999</v>
      </c>
      <c r="U31" s="2">
        <v>1.903E-3</v>
      </c>
      <c r="V31" s="2">
        <v>1.903E-3</v>
      </c>
      <c r="W31" s="7">
        <v>1</v>
      </c>
      <c r="X31" s="1" t="s">
        <v>122</v>
      </c>
      <c r="Y31" t="s">
        <v>35</v>
      </c>
    </row>
    <row r="32" spans="1:25" x14ac:dyDescent="0.3">
      <c r="A32" t="s">
        <v>24</v>
      </c>
      <c r="B32" t="s">
        <v>25</v>
      </c>
      <c r="D32" t="s">
        <v>40</v>
      </c>
      <c r="E32" t="s">
        <v>27</v>
      </c>
      <c r="F32" t="s">
        <v>28</v>
      </c>
      <c r="G32" t="s">
        <v>55</v>
      </c>
      <c r="H32" s="1" t="s">
        <v>123</v>
      </c>
      <c r="I32" t="s">
        <v>124</v>
      </c>
      <c r="J32" s="2">
        <v>7.0000000000000007E-2</v>
      </c>
      <c r="K32" s="3">
        <v>47300</v>
      </c>
      <c r="L32">
        <v>1206663</v>
      </c>
      <c r="M32">
        <v>1206663</v>
      </c>
      <c r="N32" s="4"/>
      <c r="O32" t="s">
        <v>32</v>
      </c>
      <c r="P32" s="5">
        <v>2000623</v>
      </c>
      <c r="Q32" s="4">
        <v>0</v>
      </c>
      <c r="R32" t="s">
        <v>33</v>
      </c>
      <c r="S32" s="4">
        <v>102.24</v>
      </c>
      <c r="T32" s="6">
        <v>2045436.9552</v>
      </c>
      <c r="U32" s="2">
        <v>1.6424999999999999E-2</v>
      </c>
      <c r="V32" s="2">
        <v>1.6424999999999999E-2</v>
      </c>
      <c r="W32" s="7">
        <v>1</v>
      </c>
      <c r="X32" s="1" t="s">
        <v>125</v>
      </c>
      <c r="Y32" t="s">
        <v>35</v>
      </c>
    </row>
    <row r="33" spans="1:25" x14ac:dyDescent="0.3">
      <c r="A33" t="s">
        <v>24</v>
      </c>
      <c r="B33" t="s">
        <v>25</v>
      </c>
      <c r="D33" t="s">
        <v>40</v>
      </c>
      <c r="E33" t="s">
        <v>27</v>
      </c>
      <c r="F33" t="s">
        <v>28</v>
      </c>
      <c r="G33" t="s">
        <v>55</v>
      </c>
      <c r="H33" s="1" t="s">
        <v>126</v>
      </c>
      <c r="I33" t="s">
        <v>124</v>
      </c>
      <c r="J33" s="2">
        <v>7.1499999999999994E-2</v>
      </c>
      <c r="K33" s="3">
        <v>47209</v>
      </c>
      <c r="L33">
        <v>1215110</v>
      </c>
      <c r="M33">
        <v>1215110</v>
      </c>
      <c r="N33" s="4"/>
      <c r="O33" t="s">
        <v>32</v>
      </c>
      <c r="P33" s="5">
        <v>108822</v>
      </c>
      <c r="Q33" s="4">
        <v>0</v>
      </c>
      <c r="R33" t="s">
        <v>33</v>
      </c>
      <c r="S33" s="4">
        <v>103.89</v>
      </c>
      <c r="T33" s="6">
        <v>113055.1758</v>
      </c>
      <c r="U33" s="2">
        <v>9.0700000000000004E-4</v>
      </c>
      <c r="V33" s="2">
        <v>9.0700000000000004E-4</v>
      </c>
      <c r="W33" s="7">
        <v>1</v>
      </c>
      <c r="X33" s="1" t="s">
        <v>127</v>
      </c>
      <c r="Y33" t="s">
        <v>35</v>
      </c>
    </row>
    <row r="34" spans="1:25" x14ac:dyDescent="0.3">
      <c r="A34" t="s">
        <v>24</v>
      </c>
      <c r="B34" t="s">
        <v>25</v>
      </c>
      <c r="D34" t="s">
        <v>40</v>
      </c>
      <c r="E34" t="s">
        <v>27</v>
      </c>
      <c r="F34" t="s">
        <v>28</v>
      </c>
      <c r="G34" t="s">
        <v>55</v>
      </c>
      <c r="H34" s="1" t="s">
        <v>128</v>
      </c>
      <c r="I34" t="s">
        <v>129</v>
      </c>
      <c r="J34" s="2">
        <v>3.9E-2</v>
      </c>
      <c r="K34" s="3">
        <v>46203</v>
      </c>
      <c r="L34">
        <v>5310305</v>
      </c>
      <c r="M34">
        <v>5310305</v>
      </c>
      <c r="N34" s="4"/>
      <c r="O34" t="s">
        <v>32</v>
      </c>
      <c r="P34" s="5">
        <v>38634.75</v>
      </c>
      <c r="Q34" s="4">
        <v>0</v>
      </c>
      <c r="R34" t="s">
        <v>33</v>
      </c>
      <c r="S34" s="4">
        <v>99.53</v>
      </c>
      <c r="T34" s="6">
        <v>38453.166680000002</v>
      </c>
      <c r="U34" s="2">
        <v>3.0800000000000001E-4</v>
      </c>
      <c r="V34" s="2">
        <v>3.0800000000000001E-4</v>
      </c>
      <c r="W34" s="7">
        <v>1</v>
      </c>
      <c r="X34" s="1" t="s">
        <v>130</v>
      </c>
      <c r="Y34" t="s">
        <v>35</v>
      </c>
    </row>
    <row r="35" spans="1:25" x14ac:dyDescent="0.3">
      <c r="A35" t="s">
        <v>24</v>
      </c>
      <c r="B35" t="s">
        <v>25</v>
      </c>
      <c r="D35" t="s">
        <v>40</v>
      </c>
      <c r="E35" t="s">
        <v>27</v>
      </c>
      <c r="F35" t="s">
        <v>28</v>
      </c>
      <c r="G35" t="s">
        <v>55</v>
      </c>
      <c r="H35" s="1" t="s">
        <v>131</v>
      </c>
      <c r="I35" t="s">
        <v>132</v>
      </c>
      <c r="J35" s="2">
        <v>0.08</v>
      </c>
      <c r="K35" s="3">
        <v>47300</v>
      </c>
      <c r="L35">
        <v>1197763</v>
      </c>
      <c r="M35">
        <v>1197763</v>
      </c>
      <c r="N35" s="4"/>
      <c r="O35" t="s">
        <v>32</v>
      </c>
      <c r="P35" s="5">
        <v>146630</v>
      </c>
      <c r="Q35" s="4">
        <v>0</v>
      </c>
      <c r="R35" t="s">
        <v>33</v>
      </c>
      <c r="S35" s="4">
        <v>105.77</v>
      </c>
      <c r="T35" s="6">
        <v>155090.55100000001</v>
      </c>
      <c r="U35" s="2">
        <v>1.245E-3</v>
      </c>
      <c r="V35" s="2">
        <v>1.245E-3</v>
      </c>
      <c r="W35" s="7">
        <v>1</v>
      </c>
      <c r="X35" s="1" t="s">
        <v>133</v>
      </c>
      <c r="Y35" t="s">
        <v>35</v>
      </c>
    </row>
    <row r="36" spans="1:25" x14ac:dyDescent="0.3">
      <c r="A36" t="s">
        <v>24</v>
      </c>
      <c r="B36" t="s">
        <v>25</v>
      </c>
      <c r="D36" t="s">
        <v>40</v>
      </c>
      <c r="E36" t="s">
        <v>27</v>
      </c>
      <c r="F36" t="s">
        <v>28</v>
      </c>
      <c r="G36" t="s">
        <v>55</v>
      </c>
      <c r="H36" s="1" t="s">
        <v>134</v>
      </c>
      <c r="I36" t="s">
        <v>135</v>
      </c>
      <c r="J36" s="2">
        <v>6.9500000000000006E-2</v>
      </c>
      <c r="K36" s="3">
        <v>47664</v>
      </c>
      <c r="L36">
        <v>1198043</v>
      </c>
      <c r="M36">
        <v>1198043</v>
      </c>
      <c r="N36" s="4"/>
      <c r="O36" t="s">
        <v>32</v>
      </c>
      <c r="P36" s="5">
        <v>1546752.1</v>
      </c>
      <c r="Q36" s="4">
        <v>0</v>
      </c>
      <c r="R36" t="s">
        <v>33</v>
      </c>
      <c r="S36" s="4">
        <v>105.61</v>
      </c>
      <c r="T36" s="6">
        <v>1633524.8928100001</v>
      </c>
      <c r="U36" s="2">
        <v>1.3117E-2</v>
      </c>
      <c r="V36" s="2">
        <v>1.3117E-2</v>
      </c>
      <c r="W36" s="7">
        <v>1</v>
      </c>
      <c r="X36" s="1" t="s">
        <v>136</v>
      </c>
      <c r="Y36" t="s">
        <v>35</v>
      </c>
    </row>
    <row r="37" spans="1:25" x14ac:dyDescent="0.3">
      <c r="A37" t="s">
        <v>24</v>
      </c>
      <c r="B37" t="s">
        <v>25</v>
      </c>
      <c r="D37" t="s">
        <v>40</v>
      </c>
      <c r="E37" t="s">
        <v>27</v>
      </c>
      <c r="F37" t="s">
        <v>28</v>
      </c>
      <c r="G37" t="s">
        <v>55</v>
      </c>
      <c r="H37" s="1" t="s">
        <v>137</v>
      </c>
      <c r="I37" t="s">
        <v>138</v>
      </c>
      <c r="J37" s="2">
        <v>4.4999999999999998E-2</v>
      </c>
      <c r="K37" s="3">
        <v>47087</v>
      </c>
      <c r="L37">
        <v>1188663</v>
      </c>
      <c r="M37">
        <v>1188663</v>
      </c>
      <c r="N37" s="4"/>
      <c r="O37" t="s">
        <v>32</v>
      </c>
      <c r="P37" s="5">
        <v>695225.12</v>
      </c>
      <c r="Q37" s="4">
        <v>0</v>
      </c>
      <c r="R37" t="s">
        <v>33</v>
      </c>
      <c r="S37" s="4">
        <v>97</v>
      </c>
      <c r="T37" s="6">
        <v>674368.36640000006</v>
      </c>
      <c r="U37" s="2">
        <v>5.4149999999999997E-3</v>
      </c>
      <c r="V37" s="2">
        <v>5.4149999999999997E-3</v>
      </c>
      <c r="W37" s="7">
        <v>1</v>
      </c>
      <c r="X37" s="1" t="s">
        <v>139</v>
      </c>
      <c r="Y37" t="s">
        <v>35</v>
      </c>
    </row>
    <row r="38" spans="1:25" x14ac:dyDescent="0.3">
      <c r="A38" t="s">
        <v>24</v>
      </c>
      <c r="B38" t="s">
        <v>25</v>
      </c>
      <c r="D38" t="s">
        <v>40</v>
      </c>
      <c r="E38" t="s">
        <v>27</v>
      </c>
      <c r="F38" t="s">
        <v>28</v>
      </c>
      <c r="G38" t="s">
        <v>55</v>
      </c>
      <c r="H38" s="1" t="s">
        <v>140</v>
      </c>
      <c r="I38" t="s">
        <v>141</v>
      </c>
      <c r="J38" s="2">
        <v>3.5000000000000003E-2</v>
      </c>
      <c r="K38" s="3">
        <v>46934</v>
      </c>
      <c r="L38">
        <v>1183714</v>
      </c>
      <c r="M38">
        <v>1183714</v>
      </c>
      <c r="N38" s="4"/>
      <c r="O38" t="s">
        <v>32</v>
      </c>
      <c r="P38" s="5">
        <v>910999.95</v>
      </c>
      <c r="Q38" s="4">
        <v>0</v>
      </c>
      <c r="R38" t="s">
        <v>33</v>
      </c>
      <c r="S38" s="4">
        <v>98.13</v>
      </c>
      <c r="T38" s="6">
        <v>893964.25094000006</v>
      </c>
      <c r="U38" s="2">
        <v>7.1780000000000004E-3</v>
      </c>
      <c r="V38" s="2">
        <v>7.1780000000000004E-3</v>
      </c>
      <c r="W38" s="7">
        <v>1</v>
      </c>
      <c r="X38" s="1" t="s">
        <v>142</v>
      </c>
      <c r="Y38" t="s">
        <v>35</v>
      </c>
    </row>
    <row r="39" spans="1:25" x14ac:dyDescent="0.3">
      <c r="A39" t="s">
        <v>24</v>
      </c>
      <c r="B39" t="s">
        <v>25</v>
      </c>
      <c r="D39" t="s">
        <v>40</v>
      </c>
      <c r="E39" t="s">
        <v>27</v>
      </c>
      <c r="F39" t="s">
        <v>28</v>
      </c>
      <c r="G39" t="s">
        <v>55</v>
      </c>
      <c r="H39" s="1" t="s">
        <v>143</v>
      </c>
      <c r="I39" t="s">
        <v>144</v>
      </c>
      <c r="J39" s="2">
        <v>2.5000000000000001E-2</v>
      </c>
      <c r="K39" s="3">
        <v>47727</v>
      </c>
      <c r="L39">
        <v>1180355</v>
      </c>
      <c r="M39">
        <v>1180355</v>
      </c>
      <c r="N39" s="4"/>
      <c r="O39" t="s">
        <v>32</v>
      </c>
      <c r="P39" s="5">
        <v>288599.25</v>
      </c>
      <c r="Q39" s="4">
        <v>0</v>
      </c>
      <c r="R39" t="s">
        <v>33</v>
      </c>
      <c r="S39" s="4">
        <v>95.21</v>
      </c>
      <c r="T39" s="6">
        <v>274775.34593000001</v>
      </c>
      <c r="U39" s="2">
        <v>2.2060000000000001E-3</v>
      </c>
      <c r="V39" s="2">
        <v>2.2060000000000001E-3</v>
      </c>
      <c r="W39" s="7">
        <v>1</v>
      </c>
      <c r="X39" s="1" t="s">
        <v>145</v>
      </c>
      <c r="Y39" t="s">
        <v>35</v>
      </c>
    </row>
    <row r="40" spans="1:25" x14ac:dyDescent="0.3">
      <c r="A40" t="s">
        <v>24</v>
      </c>
      <c r="B40" t="s">
        <v>25</v>
      </c>
      <c r="D40" t="s">
        <v>40</v>
      </c>
      <c r="E40" t="s">
        <v>27</v>
      </c>
      <c r="F40" t="s">
        <v>28</v>
      </c>
      <c r="G40" t="s">
        <v>55</v>
      </c>
      <c r="H40" s="1" t="s">
        <v>146</v>
      </c>
      <c r="I40" t="s">
        <v>144</v>
      </c>
      <c r="J40" s="2">
        <v>6.2E-2</v>
      </c>
      <c r="K40" s="3">
        <v>49212</v>
      </c>
      <c r="L40">
        <v>1203264</v>
      </c>
      <c r="M40">
        <v>1203264</v>
      </c>
      <c r="N40" s="4"/>
      <c r="O40" t="s">
        <v>32</v>
      </c>
      <c r="P40" s="5">
        <v>306204</v>
      </c>
      <c r="Q40" s="4">
        <v>0</v>
      </c>
      <c r="R40" t="s">
        <v>33</v>
      </c>
      <c r="S40" s="4">
        <v>111.29</v>
      </c>
      <c r="T40" s="6">
        <v>340774.43160000001</v>
      </c>
      <c r="U40" s="2">
        <v>2.7360000000000002E-3</v>
      </c>
      <c r="V40" s="2">
        <v>2.7360000000000002E-3</v>
      </c>
      <c r="W40" s="7">
        <v>1</v>
      </c>
      <c r="X40" s="1" t="s">
        <v>147</v>
      </c>
      <c r="Y40" t="s">
        <v>35</v>
      </c>
    </row>
    <row r="41" spans="1:25" x14ac:dyDescent="0.3">
      <c r="A41" t="s">
        <v>24</v>
      </c>
      <c r="B41" t="s">
        <v>25</v>
      </c>
      <c r="D41" t="s">
        <v>40</v>
      </c>
      <c r="E41" t="s">
        <v>27</v>
      </c>
      <c r="F41" t="s">
        <v>28</v>
      </c>
      <c r="G41" t="s">
        <v>55</v>
      </c>
      <c r="H41" s="1" t="s">
        <v>148</v>
      </c>
      <c r="I41" t="s">
        <v>149</v>
      </c>
      <c r="J41" s="2">
        <v>5.9700000000000003E-2</v>
      </c>
      <c r="K41" s="3">
        <v>46112</v>
      </c>
      <c r="L41">
        <v>1187897</v>
      </c>
      <c r="M41">
        <v>1187897</v>
      </c>
      <c r="N41" s="4"/>
      <c r="O41" t="s">
        <v>32</v>
      </c>
      <c r="P41" s="5">
        <v>438466.96</v>
      </c>
      <c r="Q41" s="4">
        <v>0</v>
      </c>
      <c r="R41" t="s">
        <v>33</v>
      </c>
      <c r="S41" s="4">
        <v>102.09</v>
      </c>
      <c r="T41" s="6">
        <v>447630.91946</v>
      </c>
      <c r="U41" s="2">
        <v>3.594E-3</v>
      </c>
      <c r="V41" s="2">
        <v>3.594E-3</v>
      </c>
      <c r="W41" s="7">
        <v>1</v>
      </c>
      <c r="X41" s="1" t="s">
        <v>150</v>
      </c>
      <c r="Y41" t="s">
        <v>35</v>
      </c>
    </row>
    <row r="42" spans="1:25" x14ac:dyDescent="0.3">
      <c r="A42" t="s">
        <v>24</v>
      </c>
      <c r="B42" t="s">
        <v>25</v>
      </c>
      <c r="D42" t="s">
        <v>40</v>
      </c>
      <c r="E42" t="s">
        <v>27</v>
      </c>
      <c r="F42" t="s">
        <v>28</v>
      </c>
      <c r="G42" t="s">
        <v>55</v>
      </c>
      <c r="H42" s="1" t="s">
        <v>151</v>
      </c>
      <c r="I42" t="s">
        <v>149</v>
      </c>
      <c r="J42" s="2">
        <v>6.5000000000000002E-2</v>
      </c>
      <c r="K42" s="3">
        <v>47209</v>
      </c>
      <c r="L42">
        <v>1209295</v>
      </c>
      <c r="M42">
        <v>1209295</v>
      </c>
      <c r="N42" s="4"/>
      <c r="O42" t="s">
        <v>32</v>
      </c>
      <c r="P42" s="5">
        <v>56938</v>
      </c>
      <c r="Q42" s="4">
        <v>0</v>
      </c>
      <c r="R42" t="s">
        <v>33</v>
      </c>
      <c r="S42" s="4">
        <v>103.99</v>
      </c>
      <c r="T42" s="6">
        <v>59209.826200000003</v>
      </c>
      <c r="U42" s="2">
        <v>4.75E-4</v>
      </c>
      <c r="V42" s="2">
        <v>4.75E-4</v>
      </c>
      <c r="W42" s="7">
        <v>1</v>
      </c>
      <c r="X42" s="1" t="s">
        <v>152</v>
      </c>
      <c r="Y42" t="s">
        <v>35</v>
      </c>
    </row>
    <row r="43" spans="1:25" x14ac:dyDescent="0.3">
      <c r="A43" t="s">
        <v>24</v>
      </c>
      <c r="B43" t="s">
        <v>25</v>
      </c>
      <c r="D43" t="s">
        <v>40</v>
      </c>
      <c r="E43" t="s">
        <v>27</v>
      </c>
      <c r="F43" t="s">
        <v>28</v>
      </c>
      <c r="G43" t="s">
        <v>55</v>
      </c>
      <c r="H43" s="1" t="s">
        <v>153</v>
      </c>
      <c r="I43" t="s">
        <v>154</v>
      </c>
      <c r="J43" s="2">
        <v>0.04</v>
      </c>
      <c r="K43" s="3">
        <v>46563</v>
      </c>
      <c r="L43">
        <v>1156397</v>
      </c>
      <c r="M43">
        <v>1156397</v>
      </c>
      <c r="N43" s="4"/>
      <c r="O43" t="s">
        <v>32</v>
      </c>
      <c r="P43" s="5">
        <v>171858.73</v>
      </c>
      <c r="Q43" s="4">
        <v>0</v>
      </c>
      <c r="R43" t="s">
        <v>33</v>
      </c>
      <c r="S43" s="4">
        <v>102.56</v>
      </c>
      <c r="T43" s="6">
        <v>176258.31349</v>
      </c>
      <c r="U43" s="2">
        <v>1.415E-3</v>
      </c>
      <c r="V43" s="2">
        <v>1.415E-3</v>
      </c>
      <c r="W43" s="7">
        <v>1</v>
      </c>
      <c r="X43" s="1" t="s">
        <v>155</v>
      </c>
      <c r="Y43" t="s">
        <v>35</v>
      </c>
    </row>
    <row r="44" spans="1:25" x14ac:dyDescent="0.3">
      <c r="A44" t="s">
        <v>24</v>
      </c>
      <c r="B44" t="s">
        <v>25</v>
      </c>
      <c r="D44" t="s">
        <v>40</v>
      </c>
      <c r="E44" t="s">
        <v>27</v>
      </c>
      <c r="F44" t="s">
        <v>28</v>
      </c>
      <c r="G44" t="s">
        <v>55</v>
      </c>
      <c r="H44" s="1" t="s">
        <v>156</v>
      </c>
      <c r="I44" t="s">
        <v>157</v>
      </c>
      <c r="J44" s="2">
        <v>6.1499999999999999E-2</v>
      </c>
      <c r="K44" s="3">
        <v>46843</v>
      </c>
      <c r="L44">
        <v>1139898</v>
      </c>
      <c r="M44">
        <v>1139898</v>
      </c>
      <c r="N44" s="4"/>
      <c r="O44" t="s">
        <v>32</v>
      </c>
      <c r="P44" s="5">
        <v>613613.29</v>
      </c>
      <c r="Q44" s="4">
        <v>0</v>
      </c>
      <c r="R44" t="s">
        <v>33</v>
      </c>
      <c r="S44" s="4">
        <v>101.04</v>
      </c>
      <c r="T44" s="6">
        <v>619994.86821999995</v>
      </c>
      <c r="U44" s="2">
        <v>4.9779999999999998E-3</v>
      </c>
      <c r="V44" s="2">
        <v>4.9779999999999998E-3</v>
      </c>
      <c r="W44" s="7">
        <v>1</v>
      </c>
      <c r="X44" s="1" t="s">
        <v>158</v>
      </c>
      <c r="Y44" t="s">
        <v>35</v>
      </c>
    </row>
    <row r="45" spans="1:25" x14ac:dyDescent="0.3">
      <c r="A45" t="s">
        <v>24</v>
      </c>
      <c r="B45" t="s">
        <v>25</v>
      </c>
      <c r="D45" t="s">
        <v>40</v>
      </c>
      <c r="E45" t="s">
        <v>27</v>
      </c>
      <c r="F45" t="s">
        <v>28</v>
      </c>
      <c r="G45" t="s">
        <v>55</v>
      </c>
      <c r="H45" s="1" t="s">
        <v>159</v>
      </c>
      <c r="I45" t="s">
        <v>157</v>
      </c>
      <c r="J45" s="2">
        <v>7.7399999999999997E-2</v>
      </c>
      <c r="K45" s="3">
        <v>47361</v>
      </c>
      <c r="L45">
        <v>1188788</v>
      </c>
      <c r="M45">
        <v>1188788</v>
      </c>
      <c r="N45" s="4"/>
      <c r="O45" t="s">
        <v>32</v>
      </c>
      <c r="P45" s="5">
        <v>2116912.9300000002</v>
      </c>
      <c r="Q45" s="4">
        <v>0</v>
      </c>
      <c r="R45" t="s">
        <v>33</v>
      </c>
      <c r="S45" s="4">
        <v>99.99</v>
      </c>
      <c r="T45" s="6">
        <v>2116701.2387100002</v>
      </c>
      <c r="U45" s="2">
        <v>1.6997000000000002E-2</v>
      </c>
      <c r="V45" s="2">
        <v>1.6997000000000002E-2</v>
      </c>
      <c r="W45" s="7">
        <v>1</v>
      </c>
      <c r="X45" s="1" t="s">
        <v>160</v>
      </c>
      <c r="Y45" t="s">
        <v>35</v>
      </c>
    </row>
    <row r="46" spans="1:25" x14ac:dyDescent="0.3">
      <c r="A46" t="s">
        <v>24</v>
      </c>
      <c r="B46" t="s">
        <v>25</v>
      </c>
      <c r="D46" t="s">
        <v>40</v>
      </c>
      <c r="E46" t="s">
        <v>27</v>
      </c>
      <c r="F46" t="s">
        <v>28</v>
      </c>
      <c r="G46" t="s">
        <v>55</v>
      </c>
      <c r="H46" s="1" t="s">
        <v>161</v>
      </c>
      <c r="I46" t="s">
        <v>162</v>
      </c>
      <c r="J46" s="2">
        <v>9.0999999999999998E-2</v>
      </c>
      <c r="K46" s="3">
        <v>46295</v>
      </c>
      <c r="L46">
        <v>1197029</v>
      </c>
      <c r="M46">
        <v>1197029</v>
      </c>
      <c r="N46" s="4"/>
      <c r="O46" t="s">
        <v>32</v>
      </c>
      <c r="P46" s="5">
        <v>2397505.6800000002</v>
      </c>
      <c r="Q46" s="4">
        <v>0</v>
      </c>
      <c r="R46" t="s">
        <v>33</v>
      </c>
      <c r="S46" s="4">
        <v>104.33</v>
      </c>
      <c r="T46" s="6">
        <v>2501317.67594</v>
      </c>
      <c r="U46" s="2">
        <v>2.0084999999999999E-2</v>
      </c>
      <c r="V46" s="2">
        <v>2.0084999999999999E-2</v>
      </c>
      <c r="W46" s="7">
        <v>1</v>
      </c>
      <c r="X46" s="1" t="s">
        <v>163</v>
      </c>
      <c r="Y46" t="s">
        <v>35</v>
      </c>
    </row>
    <row r="47" spans="1:25" x14ac:dyDescent="0.3">
      <c r="A47" t="s">
        <v>24</v>
      </c>
      <c r="B47" t="s">
        <v>25</v>
      </c>
      <c r="D47" t="s">
        <v>40</v>
      </c>
      <c r="E47" t="s">
        <v>27</v>
      </c>
      <c r="F47" t="s">
        <v>28</v>
      </c>
      <c r="G47" t="s">
        <v>55</v>
      </c>
      <c r="H47" s="1" t="s">
        <v>164</v>
      </c>
      <c r="I47" t="s">
        <v>165</v>
      </c>
      <c r="J47" s="2">
        <v>5.8500000000000003E-2</v>
      </c>
      <c r="K47" s="3">
        <v>49125</v>
      </c>
      <c r="L47">
        <v>1208784</v>
      </c>
      <c r="M47">
        <v>1208784</v>
      </c>
      <c r="N47" s="4"/>
      <c r="O47" t="s">
        <v>32</v>
      </c>
      <c r="P47" s="5">
        <v>301220</v>
      </c>
      <c r="Q47" s="4">
        <v>0</v>
      </c>
      <c r="R47" t="s">
        <v>33</v>
      </c>
      <c r="S47" s="4">
        <v>109.47</v>
      </c>
      <c r="T47" s="6">
        <v>329745.53399999999</v>
      </c>
      <c r="U47" s="2">
        <v>2.647E-3</v>
      </c>
      <c r="V47" s="2">
        <v>2.647E-3</v>
      </c>
      <c r="W47" s="7">
        <v>1</v>
      </c>
      <c r="X47" s="1" t="s">
        <v>166</v>
      </c>
      <c r="Y47" t="s">
        <v>35</v>
      </c>
    </row>
    <row r="48" spans="1:25" x14ac:dyDescent="0.3">
      <c r="A48" t="s">
        <v>24</v>
      </c>
      <c r="B48" t="s">
        <v>25</v>
      </c>
      <c r="D48" t="s">
        <v>40</v>
      </c>
      <c r="E48" t="s">
        <v>27</v>
      </c>
      <c r="F48" t="s">
        <v>28</v>
      </c>
      <c r="G48" t="s">
        <v>55</v>
      </c>
      <c r="H48" s="1" t="s">
        <v>167</v>
      </c>
      <c r="I48" t="s">
        <v>46</v>
      </c>
      <c r="J48" s="2">
        <v>7.22E-2</v>
      </c>
      <c r="K48" s="3">
        <v>46965</v>
      </c>
      <c r="L48">
        <v>1198860</v>
      </c>
      <c r="M48">
        <v>1198860</v>
      </c>
      <c r="N48" s="4"/>
      <c r="O48" t="s">
        <v>32</v>
      </c>
      <c r="P48" s="5">
        <v>1295457</v>
      </c>
      <c r="Q48" s="4">
        <v>0</v>
      </c>
      <c r="R48" t="s">
        <v>33</v>
      </c>
      <c r="S48" s="4">
        <v>102.93</v>
      </c>
      <c r="T48" s="6">
        <v>1333413.8901</v>
      </c>
      <c r="U48" s="2">
        <v>1.0707E-2</v>
      </c>
      <c r="V48" s="2">
        <v>1.0707E-2</v>
      </c>
      <c r="W48" s="7">
        <v>1</v>
      </c>
      <c r="X48" s="1" t="s">
        <v>168</v>
      </c>
      <c r="Y48" t="s">
        <v>35</v>
      </c>
    </row>
    <row r="49" spans="1:25" x14ac:dyDescent="0.3">
      <c r="A49" t="s">
        <v>24</v>
      </c>
      <c r="B49" t="s">
        <v>25</v>
      </c>
      <c r="D49" t="s">
        <v>40</v>
      </c>
      <c r="E49" t="s">
        <v>27</v>
      </c>
      <c r="F49" t="s">
        <v>28</v>
      </c>
      <c r="G49" t="s">
        <v>55</v>
      </c>
      <c r="H49" s="1" t="s">
        <v>169</v>
      </c>
      <c r="I49" t="s">
        <v>46</v>
      </c>
      <c r="J49" s="2">
        <v>6.4000000000000001E-2</v>
      </c>
      <c r="K49" s="3">
        <v>47452</v>
      </c>
      <c r="L49">
        <v>1216720</v>
      </c>
      <c r="M49">
        <v>1216720</v>
      </c>
      <c r="N49" s="4"/>
      <c r="O49" t="s">
        <v>32</v>
      </c>
      <c r="P49" s="5">
        <v>322360</v>
      </c>
      <c r="Q49" s="4">
        <v>0</v>
      </c>
      <c r="R49" t="s">
        <v>33</v>
      </c>
      <c r="S49" s="4">
        <v>103.86</v>
      </c>
      <c r="T49" s="6">
        <v>334803.09600000002</v>
      </c>
      <c r="U49" s="2">
        <v>2.6879999999999999E-3</v>
      </c>
      <c r="V49" s="2">
        <v>2.6879999999999999E-3</v>
      </c>
      <c r="W49" s="7">
        <v>1</v>
      </c>
      <c r="X49" s="1" t="s">
        <v>170</v>
      </c>
      <c r="Y49" t="s">
        <v>35</v>
      </c>
    </row>
    <row r="50" spans="1:25" x14ac:dyDescent="0.3">
      <c r="A50" t="s">
        <v>24</v>
      </c>
      <c r="B50" t="s">
        <v>25</v>
      </c>
      <c r="D50" t="s">
        <v>40</v>
      </c>
      <c r="E50" t="s">
        <v>27</v>
      </c>
      <c r="F50" t="s">
        <v>28</v>
      </c>
      <c r="G50" t="s">
        <v>55</v>
      </c>
      <c r="H50" s="1" t="s">
        <v>171</v>
      </c>
      <c r="I50" t="s">
        <v>172</v>
      </c>
      <c r="J50" s="2">
        <v>7.0699999999999999E-2</v>
      </c>
      <c r="K50" s="3">
        <v>47968</v>
      </c>
      <c r="L50">
        <v>1212588</v>
      </c>
      <c r="M50">
        <v>1212588</v>
      </c>
      <c r="N50" s="4"/>
      <c r="O50" t="s">
        <v>32</v>
      </c>
      <c r="P50" s="5">
        <v>774191</v>
      </c>
      <c r="Q50" s="4">
        <v>0</v>
      </c>
      <c r="R50" t="s">
        <v>33</v>
      </c>
      <c r="S50" s="4">
        <v>103.05</v>
      </c>
      <c r="T50" s="6">
        <v>797803.82550000004</v>
      </c>
      <c r="U50" s="2">
        <v>6.4060000000000002E-3</v>
      </c>
      <c r="V50" s="2">
        <v>6.4060000000000002E-3</v>
      </c>
      <c r="W50" s="7">
        <v>1</v>
      </c>
      <c r="X50" s="1" t="s">
        <v>173</v>
      </c>
      <c r="Y50" t="s">
        <v>35</v>
      </c>
    </row>
    <row r="51" spans="1:25" x14ac:dyDescent="0.3">
      <c r="A51" t="s">
        <v>24</v>
      </c>
      <c r="B51" t="s">
        <v>25</v>
      </c>
      <c r="D51" t="s">
        <v>40</v>
      </c>
      <c r="E51" t="s">
        <v>27</v>
      </c>
      <c r="F51" t="s">
        <v>28</v>
      </c>
      <c r="G51" t="s">
        <v>55</v>
      </c>
      <c r="H51" s="1" t="s">
        <v>174</v>
      </c>
      <c r="I51" t="s">
        <v>31</v>
      </c>
      <c r="J51" s="2">
        <v>6.9800000000000001E-2</v>
      </c>
      <c r="K51" s="3">
        <v>47118</v>
      </c>
      <c r="L51">
        <v>1215094</v>
      </c>
      <c r="M51">
        <v>1215094</v>
      </c>
      <c r="N51" s="4"/>
      <c r="O51" t="s">
        <v>32</v>
      </c>
      <c r="P51" s="5">
        <v>1196466</v>
      </c>
      <c r="Q51" s="4">
        <v>0</v>
      </c>
      <c r="R51" t="s">
        <v>33</v>
      </c>
      <c r="S51" s="4">
        <v>103.15</v>
      </c>
      <c r="T51" s="6">
        <v>1234154.679</v>
      </c>
      <c r="U51" s="2">
        <v>9.9100000000000004E-3</v>
      </c>
      <c r="V51" s="2">
        <v>9.9100000000000004E-3</v>
      </c>
      <c r="W51" s="7">
        <v>1</v>
      </c>
      <c r="X51" s="1" t="s">
        <v>175</v>
      </c>
      <c r="Y51" t="s">
        <v>35</v>
      </c>
    </row>
    <row r="52" spans="1:25" x14ac:dyDescent="0.3">
      <c r="A52" t="s">
        <v>24</v>
      </c>
      <c r="B52" t="s">
        <v>25</v>
      </c>
      <c r="D52" t="s">
        <v>40</v>
      </c>
      <c r="E52" t="s">
        <v>27</v>
      </c>
      <c r="F52" t="s">
        <v>28</v>
      </c>
      <c r="G52" t="s">
        <v>55</v>
      </c>
      <c r="H52" s="1" t="s">
        <v>176</v>
      </c>
      <c r="I52" t="s">
        <v>177</v>
      </c>
      <c r="J52" s="2">
        <v>2.1100000000000001E-2</v>
      </c>
      <c r="K52" s="3">
        <v>47462</v>
      </c>
      <c r="L52">
        <v>1161371</v>
      </c>
      <c r="M52">
        <v>1161371</v>
      </c>
      <c r="N52" s="4"/>
      <c r="O52" t="s">
        <v>32</v>
      </c>
      <c r="P52" s="5">
        <v>249223.59</v>
      </c>
      <c r="Q52" s="4">
        <v>0</v>
      </c>
      <c r="R52" t="s">
        <v>33</v>
      </c>
      <c r="S52" s="4">
        <v>96.01</v>
      </c>
      <c r="T52" s="6">
        <v>239279.56875999999</v>
      </c>
      <c r="U52" s="2">
        <v>1.921E-3</v>
      </c>
      <c r="V52" s="2">
        <v>1.921E-3</v>
      </c>
      <c r="W52" s="7">
        <v>1</v>
      </c>
      <c r="X52" s="1" t="s">
        <v>178</v>
      </c>
      <c r="Y52" t="s">
        <v>35</v>
      </c>
    </row>
    <row r="53" spans="1:25" x14ac:dyDescent="0.3">
      <c r="A53" t="s">
        <v>24</v>
      </c>
      <c r="B53" t="s">
        <v>25</v>
      </c>
      <c r="D53" t="s">
        <v>40</v>
      </c>
      <c r="E53" t="s">
        <v>27</v>
      </c>
      <c r="F53" t="s">
        <v>28</v>
      </c>
      <c r="G53" t="s">
        <v>55</v>
      </c>
      <c r="H53" s="1" t="s">
        <v>179</v>
      </c>
      <c r="I53" t="s">
        <v>180</v>
      </c>
      <c r="J53" s="2">
        <v>4.4999999999999998E-2</v>
      </c>
      <c r="K53" s="3">
        <v>48502</v>
      </c>
      <c r="L53">
        <v>1160258</v>
      </c>
      <c r="M53">
        <v>1160258</v>
      </c>
      <c r="N53" s="4"/>
      <c r="O53" t="s">
        <v>32</v>
      </c>
      <c r="P53" s="5">
        <v>417398.56</v>
      </c>
      <c r="Q53" s="4">
        <v>0</v>
      </c>
      <c r="R53" t="s">
        <v>33</v>
      </c>
      <c r="S53" s="4">
        <v>99.09</v>
      </c>
      <c r="T53" s="6">
        <v>413600.23310000001</v>
      </c>
      <c r="U53" s="2">
        <v>3.3210000000000002E-3</v>
      </c>
      <c r="V53" s="2">
        <v>3.3210000000000002E-3</v>
      </c>
      <c r="W53" s="7">
        <v>1</v>
      </c>
      <c r="X53" s="1" t="s">
        <v>181</v>
      </c>
      <c r="Y53" t="s">
        <v>35</v>
      </c>
    </row>
    <row r="54" spans="1:25" x14ac:dyDescent="0.3">
      <c r="A54" t="s">
        <v>24</v>
      </c>
      <c r="B54" t="s">
        <v>25</v>
      </c>
      <c r="D54" t="s">
        <v>40</v>
      </c>
      <c r="E54" t="s">
        <v>27</v>
      </c>
      <c r="F54" t="s">
        <v>28</v>
      </c>
      <c r="G54" t="s">
        <v>55</v>
      </c>
      <c r="H54" s="1" t="s">
        <v>182</v>
      </c>
      <c r="I54" t="s">
        <v>43</v>
      </c>
      <c r="J54" s="2">
        <v>6.6000000000000003E-2</v>
      </c>
      <c r="K54" s="3">
        <v>46934</v>
      </c>
      <c r="L54">
        <v>1214675</v>
      </c>
      <c r="M54">
        <v>1214675</v>
      </c>
      <c r="N54" s="4"/>
      <c r="O54" t="s">
        <v>32</v>
      </c>
      <c r="P54" s="5">
        <v>1259751.76</v>
      </c>
      <c r="Q54" s="4">
        <v>0</v>
      </c>
      <c r="R54" t="s">
        <v>33</v>
      </c>
      <c r="S54" s="4">
        <v>102.13</v>
      </c>
      <c r="T54" s="6">
        <v>1286584.4724900001</v>
      </c>
      <c r="U54" s="2">
        <v>1.0331E-2</v>
      </c>
      <c r="V54" s="2">
        <v>1.0331E-2</v>
      </c>
      <c r="W54" s="7">
        <v>1</v>
      </c>
      <c r="X54" s="1" t="s">
        <v>183</v>
      </c>
      <c r="Y54" t="s">
        <v>35</v>
      </c>
    </row>
    <row r="55" spans="1:25" x14ac:dyDescent="0.3">
      <c r="A55" t="s">
        <v>24</v>
      </c>
      <c r="B55" t="s">
        <v>25</v>
      </c>
      <c r="D55" t="s">
        <v>40</v>
      </c>
      <c r="E55" t="s">
        <v>27</v>
      </c>
      <c r="F55" t="s">
        <v>28</v>
      </c>
      <c r="G55" t="s">
        <v>55</v>
      </c>
      <c r="H55" s="1" t="s">
        <v>184</v>
      </c>
      <c r="I55" t="s">
        <v>185</v>
      </c>
      <c r="J55" s="2">
        <v>0.08</v>
      </c>
      <c r="K55" s="3">
        <v>46433</v>
      </c>
      <c r="L55">
        <v>1184308</v>
      </c>
      <c r="M55">
        <v>1184308</v>
      </c>
      <c r="N55" s="4"/>
      <c r="O55" t="s">
        <v>32</v>
      </c>
      <c r="P55" s="5">
        <v>871221.04</v>
      </c>
      <c r="Q55" s="4">
        <v>0</v>
      </c>
      <c r="R55" t="s">
        <v>33</v>
      </c>
      <c r="S55" s="4">
        <v>101.55</v>
      </c>
      <c r="T55" s="6">
        <v>884724.96612</v>
      </c>
      <c r="U55" s="2">
        <v>7.1040000000000001E-3</v>
      </c>
      <c r="V55" s="2">
        <v>7.1040000000000001E-3</v>
      </c>
      <c r="W55" s="7">
        <v>1</v>
      </c>
      <c r="X55" s="1" t="s">
        <v>186</v>
      </c>
      <c r="Y55" t="s">
        <v>35</v>
      </c>
    </row>
    <row r="56" spans="1:25" x14ac:dyDescent="0.3">
      <c r="A56" t="s">
        <v>24</v>
      </c>
      <c r="B56" t="s">
        <v>25</v>
      </c>
      <c r="D56" t="s">
        <v>40</v>
      </c>
      <c r="E56" t="s">
        <v>27</v>
      </c>
      <c r="F56" t="s">
        <v>28</v>
      </c>
      <c r="G56" t="s">
        <v>55</v>
      </c>
      <c r="H56" s="1" t="s">
        <v>187</v>
      </c>
      <c r="I56" t="s">
        <v>188</v>
      </c>
      <c r="J56" s="2">
        <v>4.1000000000000002E-2</v>
      </c>
      <c r="K56" s="3">
        <v>46387</v>
      </c>
      <c r="L56">
        <v>1161348</v>
      </c>
      <c r="M56">
        <v>1161348</v>
      </c>
      <c r="N56" s="4"/>
      <c r="O56" t="s">
        <v>32</v>
      </c>
      <c r="P56" s="5">
        <v>148129.37</v>
      </c>
      <c r="Q56" s="4">
        <v>0</v>
      </c>
      <c r="R56" t="s">
        <v>33</v>
      </c>
      <c r="S56" s="4">
        <v>99.76</v>
      </c>
      <c r="T56" s="6">
        <v>147773.85951000001</v>
      </c>
      <c r="U56" s="2">
        <v>1.186E-3</v>
      </c>
      <c r="V56" s="2">
        <v>1.186E-3</v>
      </c>
      <c r="W56" s="7">
        <v>1</v>
      </c>
      <c r="X56" s="1" t="s">
        <v>189</v>
      </c>
      <c r="Y56" t="s">
        <v>35</v>
      </c>
    </row>
    <row r="57" spans="1:25" x14ac:dyDescent="0.3">
      <c r="A57" t="s">
        <v>24</v>
      </c>
      <c r="B57" t="s">
        <v>25</v>
      </c>
      <c r="D57" t="s">
        <v>40</v>
      </c>
      <c r="E57" t="s">
        <v>27</v>
      </c>
      <c r="F57" t="s">
        <v>28</v>
      </c>
      <c r="G57" t="s">
        <v>55</v>
      </c>
      <c r="H57" s="1" t="s">
        <v>190</v>
      </c>
      <c r="I57" t="s">
        <v>191</v>
      </c>
      <c r="J57" s="2">
        <v>3.04E-2</v>
      </c>
      <c r="K57" s="3">
        <v>47300</v>
      </c>
      <c r="L57">
        <v>1168517</v>
      </c>
      <c r="M57">
        <v>1168517</v>
      </c>
      <c r="N57" s="4"/>
      <c r="O57" t="s">
        <v>32</v>
      </c>
      <c r="P57" s="5">
        <v>276677.28000000003</v>
      </c>
      <c r="Q57" s="4">
        <v>0</v>
      </c>
      <c r="R57" t="s">
        <v>33</v>
      </c>
      <c r="S57" s="4">
        <v>97.61</v>
      </c>
      <c r="T57" s="6">
        <v>270064.69300999999</v>
      </c>
      <c r="U57" s="2">
        <v>2.1679999999999998E-3</v>
      </c>
      <c r="V57" s="2">
        <v>2.1679999999999998E-3</v>
      </c>
      <c r="W57" s="7">
        <v>1</v>
      </c>
      <c r="X57" s="1" t="s">
        <v>192</v>
      </c>
      <c r="Y57" t="s">
        <v>35</v>
      </c>
    </row>
    <row r="58" spans="1:25" x14ac:dyDescent="0.3">
      <c r="A58" t="s">
        <v>24</v>
      </c>
      <c r="B58" t="s">
        <v>25</v>
      </c>
      <c r="D58" t="s">
        <v>40</v>
      </c>
      <c r="E58" t="s">
        <v>27</v>
      </c>
      <c r="F58" t="s">
        <v>28</v>
      </c>
      <c r="G58" t="s">
        <v>55</v>
      </c>
      <c r="H58" s="1" t="s">
        <v>193</v>
      </c>
      <c r="I58" t="s">
        <v>191</v>
      </c>
      <c r="J58" s="2">
        <v>5.4800000000000001E-2</v>
      </c>
      <c r="K58" s="3">
        <v>48395</v>
      </c>
      <c r="L58">
        <v>1199124</v>
      </c>
      <c r="M58">
        <v>1199124</v>
      </c>
      <c r="N58" s="4"/>
      <c r="O58" t="s">
        <v>32</v>
      </c>
      <c r="P58" s="5">
        <v>187140</v>
      </c>
      <c r="Q58" s="4">
        <v>0</v>
      </c>
      <c r="R58" t="s">
        <v>33</v>
      </c>
      <c r="S58" s="4">
        <v>106.16</v>
      </c>
      <c r="T58" s="6">
        <v>198667.82399999999</v>
      </c>
      <c r="U58" s="2">
        <v>1.5950000000000001E-3</v>
      </c>
      <c r="V58" s="2">
        <v>1.5950000000000001E-3</v>
      </c>
      <c r="W58" s="7">
        <v>1</v>
      </c>
      <c r="X58" s="1" t="s">
        <v>194</v>
      </c>
      <c r="Y58" t="s">
        <v>35</v>
      </c>
    </row>
    <row r="59" spans="1:25" x14ac:dyDescent="0.3">
      <c r="A59" t="s">
        <v>24</v>
      </c>
      <c r="B59" t="s">
        <v>25</v>
      </c>
      <c r="D59" t="s">
        <v>40</v>
      </c>
      <c r="E59" t="s">
        <v>27</v>
      </c>
      <c r="F59" t="s">
        <v>28</v>
      </c>
      <c r="G59" t="s">
        <v>55</v>
      </c>
      <c r="H59" s="1" t="s">
        <v>195</v>
      </c>
      <c r="I59" t="s">
        <v>191</v>
      </c>
      <c r="J59" s="2">
        <v>5.2900000000000003E-2</v>
      </c>
      <c r="K59" s="3">
        <v>49491</v>
      </c>
      <c r="L59">
        <v>1217694</v>
      </c>
      <c r="M59">
        <v>1217694</v>
      </c>
      <c r="N59" s="4"/>
      <c r="O59" t="s">
        <v>32</v>
      </c>
      <c r="P59" s="5">
        <v>269494</v>
      </c>
      <c r="Q59" s="4">
        <v>0</v>
      </c>
      <c r="R59" t="s">
        <v>33</v>
      </c>
      <c r="S59" s="4">
        <v>106.25</v>
      </c>
      <c r="T59" s="6">
        <v>286337.375</v>
      </c>
      <c r="U59" s="2">
        <v>2.2989999999999998E-3</v>
      </c>
      <c r="V59" s="2">
        <v>2.2989999999999998E-3</v>
      </c>
      <c r="W59" s="7">
        <v>1</v>
      </c>
      <c r="X59" s="1" t="s">
        <v>196</v>
      </c>
      <c r="Y59" t="s">
        <v>35</v>
      </c>
    </row>
    <row r="60" spans="1:25" x14ac:dyDescent="0.3">
      <c r="A60" t="s">
        <v>24</v>
      </c>
      <c r="B60" t="s">
        <v>25</v>
      </c>
      <c r="D60" t="s">
        <v>40</v>
      </c>
      <c r="E60" t="s">
        <v>27</v>
      </c>
      <c r="F60" t="s">
        <v>28</v>
      </c>
      <c r="G60" t="s">
        <v>55</v>
      </c>
      <c r="H60" s="1" t="s">
        <v>197</v>
      </c>
      <c r="I60" t="s">
        <v>198</v>
      </c>
      <c r="J60" s="2">
        <v>6.9500000000000006E-2</v>
      </c>
      <c r="K60" s="3">
        <v>48029</v>
      </c>
      <c r="L60">
        <v>1207836</v>
      </c>
      <c r="M60">
        <v>1207836</v>
      </c>
      <c r="N60" s="4"/>
      <c r="O60" t="s">
        <v>32</v>
      </c>
      <c r="P60" s="5">
        <v>100381</v>
      </c>
      <c r="Q60" s="4">
        <v>0</v>
      </c>
      <c r="R60" t="s">
        <v>33</v>
      </c>
      <c r="S60" s="4">
        <v>105.86</v>
      </c>
      <c r="T60" s="6">
        <v>106263.3266</v>
      </c>
      <c r="U60" s="2">
        <v>8.5300000000000003E-4</v>
      </c>
      <c r="V60" s="2">
        <v>8.5300000000000003E-4</v>
      </c>
      <c r="W60" s="7">
        <v>1</v>
      </c>
      <c r="X60" s="1" t="s">
        <v>199</v>
      </c>
      <c r="Y60" t="s">
        <v>35</v>
      </c>
    </row>
    <row r="61" spans="1:25" x14ac:dyDescent="0.3">
      <c r="A61" t="s">
        <v>24</v>
      </c>
      <c r="B61" t="s">
        <v>25</v>
      </c>
      <c r="D61" t="s">
        <v>40</v>
      </c>
      <c r="E61" t="s">
        <v>27</v>
      </c>
      <c r="F61" t="s">
        <v>28</v>
      </c>
      <c r="G61" t="s">
        <v>55</v>
      </c>
      <c r="H61" s="1" t="s">
        <v>200</v>
      </c>
      <c r="I61" t="s">
        <v>201</v>
      </c>
      <c r="J61" s="2">
        <v>6.6900000000000001E-2</v>
      </c>
      <c r="K61" s="3">
        <v>46783</v>
      </c>
      <c r="L61">
        <v>1215763</v>
      </c>
      <c r="M61">
        <v>1215763</v>
      </c>
      <c r="N61" s="4"/>
      <c r="O61" t="s">
        <v>32</v>
      </c>
      <c r="P61" s="5">
        <v>10000</v>
      </c>
      <c r="Q61" s="4">
        <v>0</v>
      </c>
      <c r="R61" t="s">
        <v>33</v>
      </c>
      <c r="S61" s="4">
        <v>103.3</v>
      </c>
      <c r="T61" s="6">
        <v>10330</v>
      </c>
      <c r="U61" s="2">
        <v>8.2000000000000001E-5</v>
      </c>
      <c r="V61" s="2">
        <v>8.2000000000000001E-5</v>
      </c>
      <c r="W61" s="7">
        <v>1</v>
      </c>
      <c r="X61" s="1" t="s">
        <v>202</v>
      </c>
      <c r="Y61" t="s">
        <v>35</v>
      </c>
    </row>
    <row r="62" spans="1:25" x14ac:dyDescent="0.3">
      <c r="A62" t="s">
        <v>24</v>
      </c>
      <c r="B62" t="s">
        <v>25</v>
      </c>
      <c r="D62" t="s">
        <v>40</v>
      </c>
      <c r="E62" t="s">
        <v>27</v>
      </c>
      <c r="F62" t="s">
        <v>28</v>
      </c>
      <c r="G62" t="s">
        <v>55</v>
      </c>
      <c r="H62" s="1" t="s">
        <v>203</v>
      </c>
      <c r="I62" t="s">
        <v>204</v>
      </c>
      <c r="J62" s="2">
        <v>2.18E-2</v>
      </c>
      <c r="K62" s="3">
        <v>48197</v>
      </c>
      <c r="L62">
        <v>1183037</v>
      </c>
      <c r="M62">
        <v>1183037</v>
      </c>
      <c r="N62" s="4"/>
      <c r="O62" t="s">
        <v>32</v>
      </c>
      <c r="P62" s="5">
        <v>199004</v>
      </c>
      <c r="Q62" s="4">
        <v>0</v>
      </c>
      <c r="R62" t="s">
        <v>33</v>
      </c>
      <c r="S62" s="4">
        <v>95.12</v>
      </c>
      <c r="T62" s="6">
        <v>189292.6048</v>
      </c>
      <c r="U62" s="2">
        <v>1.5200000000000001E-3</v>
      </c>
      <c r="V62" s="2">
        <v>1.5200000000000001E-3</v>
      </c>
      <c r="W62" s="7">
        <v>1</v>
      </c>
      <c r="X62" s="1" t="s">
        <v>205</v>
      </c>
      <c r="Y62" t="s">
        <v>35</v>
      </c>
    </row>
    <row r="63" spans="1:25" x14ac:dyDescent="0.3">
      <c r="A63" t="s">
        <v>24</v>
      </c>
      <c r="B63" t="s">
        <v>25</v>
      </c>
      <c r="D63" t="s">
        <v>40</v>
      </c>
      <c r="E63" t="s">
        <v>27</v>
      </c>
      <c r="F63" t="s">
        <v>28</v>
      </c>
      <c r="G63" t="s">
        <v>55</v>
      </c>
      <c r="H63" s="1" t="s">
        <v>206</v>
      </c>
      <c r="I63" t="s">
        <v>207</v>
      </c>
      <c r="J63" s="2">
        <v>7.9699999999999993E-2</v>
      </c>
      <c r="K63" s="3">
        <v>47543</v>
      </c>
      <c r="L63">
        <v>1233550</v>
      </c>
      <c r="M63">
        <v>1233550</v>
      </c>
      <c r="N63" s="4"/>
      <c r="O63" t="s">
        <v>32</v>
      </c>
      <c r="P63" s="5">
        <v>100000</v>
      </c>
      <c r="Q63" s="4">
        <v>0</v>
      </c>
      <c r="R63" t="s">
        <v>33</v>
      </c>
      <c r="S63" s="4">
        <v>101.62</v>
      </c>
      <c r="T63" s="6">
        <v>101620</v>
      </c>
      <c r="U63" s="2">
        <v>8.1599999999999999E-4</v>
      </c>
      <c r="V63" s="2">
        <v>8.1599999999999999E-4</v>
      </c>
      <c r="W63" s="7">
        <v>1</v>
      </c>
      <c r="X63" s="1" t="s">
        <v>208</v>
      </c>
      <c r="Y63" t="s">
        <v>35</v>
      </c>
    </row>
    <row r="64" spans="1:25" x14ac:dyDescent="0.3">
      <c r="A64" t="s">
        <v>24</v>
      </c>
      <c r="B64" t="s">
        <v>25</v>
      </c>
      <c r="D64" t="s">
        <v>40</v>
      </c>
      <c r="E64" t="s">
        <v>27</v>
      </c>
      <c r="F64" t="s">
        <v>28</v>
      </c>
      <c r="G64" t="s">
        <v>55</v>
      </c>
      <c r="H64" s="1" t="s">
        <v>209</v>
      </c>
      <c r="I64" t="s">
        <v>210</v>
      </c>
      <c r="J64" s="2">
        <v>3.9399999999999998E-2</v>
      </c>
      <c r="K64" s="3">
        <v>48396</v>
      </c>
      <c r="L64">
        <v>1187418</v>
      </c>
      <c r="M64">
        <v>1187418</v>
      </c>
      <c r="N64" s="4"/>
      <c r="O64" t="s">
        <v>32</v>
      </c>
      <c r="P64" s="5">
        <v>0.3</v>
      </c>
      <c r="Q64" s="4">
        <v>0</v>
      </c>
      <c r="R64" t="s">
        <v>33</v>
      </c>
      <c r="S64" s="4">
        <v>99.21</v>
      </c>
      <c r="T64" s="6">
        <v>0.29763000000000001</v>
      </c>
      <c r="U64" s="2">
        <v>0</v>
      </c>
      <c r="V64" s="2">
        <v>0</v>
      </c>
      <c r="W64" s="7">
        <v>1</v>
      </c>
      <c r="X64" s="1" t="s">
        <v>211</v>
      </c>
      <c r="Y64" t="s">
        <v>35</v>
      </c>
    </row>
    <row r="65" spans="1:25" x14ac:dyDescent="0.3">
      <c r="A65" t="s">
        <v>24</v>
      </c>
      <c r="B65" t="s">
        <v>25</v>
      </c>
      <c r="D65" t="s">
        <v>40</v>
      </c>
      <c r="E65" t="s">
        <v>27</v>
      </c>
      <c r="F65" t="s">
        <v>28</v>
      </c>
      <c r="G65" t="s">
        <v>55</v>
      </c>
      <c r="H65" s="1" t="s">
        <v>212</v>
      </c>
      <c r="I65" t="s">
        <v>213</v>
      </c>
      <c r="J65" s="2">
        <v>8.9499999999999996E-2</v>
      </c>
      <c r="K65" s="3">
        <v>47757</v>
      </c>
      <c r="L65">
        <v>1233758</v>
      </c>
      <c r="M65">
        <v>1233758</v>
      </c>
      <c r="N65" s="4"/>
      <c r="O65" t="s">
        <v>32</v>
      </c>
      <c r="P65" s="5">
        <v>100000</v>
      </c>
      <c r="Q65" s="4">
        <v>0</v>
      </c>
      <c r="R65" t="s">
        <v>33</v>
      </c>
      <c r="S65" s="4">
        <v>103.31</v>
      </c>
      <c r="T65" s="6">
        <v>103310</v>
      </c>
      <c r="U65" s="2">
        <v>8.2899999999999998E-4</v>
      </c>
      <c r="V65" s="2">
        <v>8.2899999999999998E-4</v>
      </c>
      <c r="W65" s="7">
        <v>1</v>
      </c>
      <c r="X65" s="1" t="s">
        <v>214</v>
      </c>
      <c r="Y65" t="s">
        <v>35</v>
      </c>
    </row>
    <row r="66" spans="1:25" x14ac:dyDescent="0.3">
      <c r="A66" t="s">
        <v>24</v>
      </c>
      <c r="B66" t="s">
        <v>25</v>
      </c>
      <c r="D66" t="s">
        <v>40</v>
      </c>
      <c r="E66" t="s">
        <v>27</v>
      </c>
      <c r="F66" t="s">
        <v>28</v>
      </c>
      <c r="G66" t="s">
        <v>215</v>
      </c>
      <c r="H66" s="1" t="s">
        <v>216</v>
      </c>
      <c r="I66" t="s">
        <v>217</v>
      </c>
      <c r="J66" s="2">
        <v>1.0500000000000001E-2</v>
      </c>
      <c r="K66" s="3">
        <v>46609</v>
      </c>
      <c r="L66">
        <v>1160670</v>
      </c>
      <c r="M66">
        <v>1160670</v>
      </c>
      <c r="N66" s="4"/>
      <c r="O66" t="s">
        <v>32</v>
      </c>
      <c r="P66" s="5">
        <v>51962.09</v>
      </c>
      <c r="Q66" s="4">
        <v>0</v>
      </c>
      <c r="R66" t="s">
        <v>33</v>
      </c>
      <c r="S66" s="4">
        <v>115.07</v>
      </c>
      <c r="T66" s="6">
        <v>59792.776960000003</v>
      </c>
      <c r="U66" s="2">
        <v>4.8000000000000001E-4</v>
      </c>
      <c r="V66" s="2">
        <v>4.8000000000000001E-4</v>
      </c>
      <c r="W66" s="7">
        <v>1</v>
      </c>
      <c r="X66" s="1" t="s">
        <v>218</v>
      </c>
      <c r="Y66" t="s">
        <v>35</v>
      </c>
    </row>
    <row r="67" spans="1:25" x14ac:dyDescent="0.3">
      <c r="A67" t="s">
        <v>24</v>
      </c>
      <c r="B67" t="s">
        <v>25</v>
      </c>
      <c r="D67" t="s">
        <v>40</v>
      </c>
      <c r="E67" t="s">
        <v>27</v>
      </c>
      <c r="F67" t="s">
        <v>28</v>
      </c>
      <c r="G67" t="s">
        <v>215</v>
      </c>
      <c r="H67" s="1" t="s">
        <v>219</v>
      </c>
      <c r="I67" t="s">
        <v>201</v>
      </c>
      <c r="J67" s="2">
        <v>4.99E-2</v>
      </c>
      <c r="K67" s="3">
        <v>48487</v>
      </c>
      <c r="L67">
        <v>1223353</v>
      </c>
      <c r="M67">
        <v>1223353</v>
      </c>
      <c r="N67" s="4"/>
      <c r="O67" t="s">
        <v>32</v>
      </c>
      <c r="P67" s="5">
        <v>2171643</v>
      </c>
      <c r="Q67" s="4">
        <v>0</v>
      </c>
      <c r="R67" t="s">
        <v>33</v>
      </c>
      <c r="S67" s="4">
        <v>101.68</v>
      </c>
      <c r="T67" s="6">
        <v>2208126.6024000002</v>
      </c>
      <c r="U67" s="2">
        <v>1.7731E-2</v>
      </c>
      <c r="V67" s="2">
        <v>1.7731E-2</v>
      </c>
      <c r="W67" s="7">
        <v>1</v>
      </c>
      <c r="X67" s="1" t="s">
        <v>220</v>
      </c>
      <c r="Y67" t="s">
        <v>35</v>
      </c>
    </row>
    <row r="68" spans="1:25" x14ac:dyDescent="0.3">
      <c r="A68" t="s">
        <v>24</v>
      </c>
      <c r="B68" t="s">
        <v>25</v>
      </c>
      <c r="D68" t="s">
        <v>40</v>
      </c>
      <c r="E68" t="s">
        <v>27</v>
      </c>
      <c r="F68" t="s">
        <v>28</v>
      </c>
      <c r="G68" t="s">
        <v>215</v>
      </c>
      <c r="H68" s="1" t="s">
        <v>221</v>
      </c>
      <c r="I68" t="s">
        <v>222</v>
      </c>
      <c r="J68" s="2">
        <v>2.07E-2</v>
      </c>
      <c r="K68" s="3">
        <v>56249</v>
      </c>
      <c r="L68">
        <v>1158476</v>
      </c>
      <c r="M68">
        <v>1158476</v>
      </c>
      <c r="N68" s="4"/>
      <c r="O68" t="s">
        <v>32</v>
      </c>
      <c r="P68" s="5">
        <v>0.48</v>
      </c>
      <c r="Q68" s="4">
        <v>0</v>
      </c>
      <c r="R68" t="s">
        <v>33</v>
      </c>
      <c r="S68" s="4">
        <v>107.84</v>
      </c>
      <c r="T68" s="6">
        <v>0.51763000000000003</v>
      </c>
      <c r="U68" s="2">
        <v>0</v>
      </c>
      <c r="V68" s="2">
        <v>0</v>
      </c>
      <c r="W68" s="7">
        <v>1</v>
      </c>
      <c r="X68" s="1" t="s">
        <v>223</v>
      </c>
      <c r="Y68" t="s">
        <v>35</v>
      </c>
    </row>
    <row r="69" spans="1:25" x14ac:dyDescent="0.3">
      <c r="A69" t="s">
        <v>24</v>
      </c>
      <c r="B69" t="s">
        <v>25</v>
      </c>
      <c r="D69" t="s">
        <v>40</v>
      </c>
      <c r="E69" t="s">
        <v>27</v>
      </c>
      <c r="F69" t="s">
        <v>28</v>
      </c>
      <c r="G69" t="s">
        <v>215</v>
      </c>
      <c r="H69" s="1" t="s">
        <v>224</v>
      </c>
      <c r="I69" t="s">
        <v>135</v>
      </c>
      <c r="J69" s="2">
        <v>1.4800000000000001E-2</v>
      </c>
      <c r="K69" s="3">
        <v>46752</v>
      </c>
      <c r="L69">
        <v>1179340</v>
      </c>
      <c r="M69">
        <v>1179340</v>
      </c>
      <c r="N69" s="4"/>
      <c r="O69" t="s">
        <v>32</v>
      </c>
      <c r="P69" s="5">
        <v>395314.49</v>
      </c>
      <c r="Q69" s="4">
        <v>0</v>
      </c>
      <c r="R69" t="s">
        <v>33</v>
      </c>
      <c r="S69" s="4">
        <v>112.25</v>
      </c>
      <c r="T69" s="6">
        <v>443740.51503000001</v>
      </c>
      <c r="U69" s="2">
        <v>3.5630000000000002E-3</v>
      </c>
      <c r="V69" s="2">
        <v>3.5630000000000002E-3</v>
      </c>
      <c r="W69" s="7">
        <v>1</v>
      </c>
      <c r="X69" s="1" t="s">
        <v>225</v>
      </c>
      <c r="Y69" t="s">
        <v>35</v>
      </c>
    </row>
    <row r="70" spans="1:25" x14ac:dyDescent="0.3">
      <c r="A70" t="s">
        <v>24</v>
      </c>
      <c r="B70" t="s">
        <v>25</v>
      </c>
      <c r="D70" t="s">
        <v>40</v>
      </c>
      <c r="E70" t="s">
        <v>27</v>
      </c>
      <c r="F70" t="s">
        <v>28</v>
      </c>
      <c r="G70" t="s">
        <v>215</v>
      </c>
      <c r="H70" s="1" t="s">
        <v>226</v>
      </c>
      <c r="I70" t="s">
        <v>227</v>
      </c>
      <c r="J70" s="2">
        <v>1.5800000000000002E-2</v>
      </c>
      <c r="K70" s="3">
        <v>46934</v>
      </c>
      <c r="L70">
        <v>1179134</v>
      </c>
      <c r="M70">
        <v>1179134</v>
      </c>
      <c r="N70" s="4"/>
      <c r="O70" t="s">
        <v>32</v>
      </c>
      <c r="P70" s="5">
        <v>387595.59</v>
      </c>
      <c r="Q70" s="4">
        <v>0</v>
      </c>
      <c r="R70" t="s">
        <v>33</v>
      </c>
      <c r="S70" s="4">
        <v>113.35</v>
      </c>
      <c r="T70" s="6">
        <v>439339.60126999998</v>
      </c>
      <c r="U70" s="2">
        <v>3.5270000000000002E-3</v>
      </c>
      <c r="V70" s="2">
        <v>3.5270000000000002E-3</v>
      </c>
      <c r="W70" s="7">
        <v>1</v>
      </c>
      <c r="X70" s="1" t="s">
        <v>228</v>
      </c>
      <c r="Y70" t="s">
        <v>35</v>
      </c>
    </row>
    <row r="71" spans="1:25" x14ac:dyDescent="0.3">
      <c r="A71" t="s">
        <v>24</v>
      </c>
      <c r="B71" t="s">
        <v>25</v>
      </c>
      <c r="D71" t="s">
        <v>40</v>
      </c>
      <c r="E71" t="s">
        <v>27</v>
      </c>
      <c r="F71" t="s">
        <v>28</v>
      </c>
      <c r="G71" t="s">
        <v>215</v>
      </c>
      <c r="H71" s="1" t="s">
        <v>229</v>
      </c>
      <c r="I71" t="s">
        <v>230</v>
      </c>
      <c r="J71" s="2">
        <v>8.5000000000000006E-3</v>
      </c>
      <c r="K71" s="3">
        <v>47483</v>
      </c>
      <c r="L71">
        <v>1177658</v>
      </c>
      <c r="M71">
        <v>1177658</v>
      </c>
      <c r="N71" s="4"/>
      <c r="O71" t="s">
        <v>32</v>
      </c>
      <c r="P71" s="5">
        <v>210472.2</v>
      </c>
      <c r="Q71" s="4">
        <v>0</v>
      </c>
      <c r="R71" t="s">
        <v>33</v>
      </c>
      <c r="S71" s="4">
        <v>110.23</v>
      </c>
      <c r="T71" s="6">
        <v>232003.50606000001</v>
      </c>
      <c r="U71" s="2">
        <v>1.8630000000000001E-3</v>
      </c>
      <c r="V71" s="2">
        <v>1.8630000000000001E-3</v>
      </c>
      <c r="W71" s="7">
        <v>1</v>
      </c>
      <c r="X71" s="1" t="s">
        <v>231</v>
      </c>
      <c r="Y71" t="s">
        <v>35</v>
      </c>
    </row>
    <row r="72" spans="1:25" x14ac:dyDescent="0.3">
      <c r="A72" t="s">
        <v>24</v>
      </c>
      <c r="B72" t="s">
        <v>25</v>
      </c>
      <c r="D72" t="s">
        <v>40</v>
      </c>
      <c r="E72" t="s">
        <v>27</v>
      </c>
      <c r="F72" t="s">
        <v>28</v>
      </c>
      <c r="G72" t="s">
        <v>215</v>
      </c>
      <c r="H72" s="1" t="s">
        <v>232</v>
      </c>
      <c r="I72" t="s">
        <v>230</v>
      </c>
      <c r="J72" s="2">
        <v>3.1800000000000002E-2</v>
      </c>
      <c r="K72" s="3">
        <v>48213</v>
      </c>
      <c r="L72">
        <v>1193929</v>
      </c>
      <c r="M72">
        <v>1193929</v>
      </c>
      <c r="N72" s="4"/>
      <c r="O72" t="s">
        <v>32</v>
      </c>
      <c r="P72" s="5">
        <v>234542.5</v>
      </c>
      <c r="Q72" s="4">
        <v>0</v>
      </c>
      <c r="R72" t="s">
        <v>33</v>
      </c>
      <c r="S72" s="4">
        <v>111.42</v>
      </c>
      <c r="T72" s="6">
        <v>261327.25349999999</v>
      </c>
      <c r="U72" s="2">
        <v>2.098E-3</v>
      </c>
      <c r="V72" s="2">
        <v>2.098E-3</v>
      </c>
      <c r="W72" s="7">
        <v>1</v>
      </c>
      <c r="X72" s="1" t="s">
        <v>233</v>
      </c>
      <c r="Y72" t="s">
        <v>35</v>
      </c>
    </row>
    <row r="73" spans="1:25" x14ac:dyDescent="0.3">
      <c r="A73" t="s">
        <v>24</v>
      </c>
      <c r="B73" t="s">
        <v>25</v>
      </c>
      <c r="D73" t="s">
        <v>40</v>
      </c>
      <c r="E73" t="s">
        <v>27</v>
      </c>
      <c r="F73" t="s">
        <v>28</v>
      </c>
      <c r="G73" t="s">
        <v>215</v>
      </c>
      <c r="H73" s="1" t="s">
        <v>234</v>
      </c>
      <c r="I73" t="s">
        <v>235</v>
      </c>
      <c r="J73" s="2">
        <v>9.4000000000000004E-3</v>
      </c>
      <c r="K73" s="3">
        <v>47300</v>
      </c>
      <c r="L73">
        <v>1183193</v>
      </c>
      <c r="M73">
        <v>1183193</v>
      </c>
      <c r="N73" s="4"/>
      <c r="O73" t="s">
        <v>32</v>
      </c>
      <c r="P73" s="5">
        <v>13.75</v>
      </c>
      <c r="Q73" s="4">
        <v>0</v>
      </c>
      <c r="R73" t="s">
        <v>33</v>
      </c>
      <c r="S73" s="4">
        <v>106.01</v>
      </c>
      <c r="T73" s="6">
        <v>14.57638</v>
      </c>
      <c r="U73" s="2">
        <v>0</v>
      </c>
      <c r="V73" s="2">
        <v>0</v>
      </c>
      <c r="W73" s="7">
        <v>1</v>
      </c>
      <c r="X73" s="1" t="s">
        <v>236</v>
      </c>
      <c r="Y73" t="s">
        <v>35</v>
      </c>
    </row>
    <row r="74" spans="1:25" x14ac:dyDescent="0.3">
      <c r="A74" t="s">
        <v>24</v>
      </c>
      <c r="B74" t="s">
        <v>25</v>
      </c>
      <c r="D74" t="s">
        <v>40</v>
      </c>
      <c r="E74" t="s">
        <v>27</v>
      </c>
      <c r="F74" t="s">
        <v>28</v>
      </c>
      <c r="G74" t="s">
        <v>215</v>
      </c>
      <c r="H74" s="1" t="s">
        <v>237</v>
      </c>
      <c r="I74" t="s">
        <v>238</v>
      </c>
      <c r="J74" s="2">
        <v>2.9499999999999998E-2</v>
      </c>
      <c r="K74" s="3">
        <v>46752</v>
      </c>
      <c r="L74">
        <v>1186246</v>
      </c>
      <c r="M74">
        <v>1186246</v>
      </c>
      <c r="N74" s="4"/>
      <c r="O74" t="s">
        <v>32</v>
      </c>
      <c r="P74" s="5">
        <v>31261.919999999998</v>
      </c>
      <c r="Q74" s="4">
        <v>0</v>
      </c>
      <c r="R74" t="s">
        <v>33</v>
      </c>
      <c r="S74" s="4">
        <v>112.81</v>
      </c>
      <c r="T74" s="6">
        <v>35266.571949999998</v>
      </c>
      <c r="U74" s="2">
        <v>2.8299999999999999E-4</v>
      </c>
      <c r="V74" s="2">
        <v>2.8299999999999999E-4</v>
      </c>
      <c r="W74" s="7">
        <v>1</v>
      </c>
      <c r="X74" s="1" t="s">
        <v>239</v>
      </c>
      <c r="Y74" t="s">
        <v>35</v>
      </c>
    </row>
    <row r="75" spans="1:25" x14ac:dyDescent="0.3">
      <c r="A75" t="s">
        <v>24</v>
      </c>
      <c r="B75" t="s">
        <v>25</v>
      </c>
      <c r="D75" t="s">
        <v>40</v>
      </c>
      <c r="E75" t="s">
        <v>27</v>
      </c>
      <c r="F75" t="s">
        <v>28</v>
      </c>
      <c r="G75" t="s">
        <v>215</v>
      </c>
      <c r="H75" s="1" t="s">
        <v>240</v>
      </c>
      <c r="I75" t="s">
        <v>241</v>
      </c>
      <c r="J75" s="2">
        <v>1.15E-2</v>
      </c>
      <c r="K75" s="3">
        <v>49491</v>
      </c>
      <c r="L75">
        <v>1174556</v>
      </c>
      <c r="M75">
        <v>1174556</v>
      </c>
      <c r="N75" s="4"/>
      <c r="O75" t="s">
        <v>32</v>
      </c>
      <c r="P75" s="5">
        <v>317726</v>
      </c>
      <c r="Q75" s="4">
        <v>0</v>
      </c>
      <c r="R75" t="s">
        <v>33</v>
      </c>
      <c r="S75" s="4">
        <v>108.66</v>
      </c>
      <c r="T75" s="6">
        <v>345241.07160000002</v>
      </c>
      <c r="U75" s="2">
        <v>2.7720000000000002E-3</v>
      </c>
      <c r="V75" s="2">
        <v>2.7720000000000002E-3</v>
      </c>
      <c r="W75" s="7">
        <v>1</v>
      </c>
      <c r="X75" s="1" t="s">
        <v>242</v>
      </c>
      <c r="Y75" t="s">
        <v>35</v>
      </c>
    </row>
    <row r="76" spans="1:25" x14ac:dyDescent="0.3">
      <c r="A76" t="s">
        <v>24</v>
      </c>
      <c r="B76" t="s">
        <v>25</v>
      </c>
      <c r="D76" t="s">
        <v>40</v>
      </c>
      <c r="E76" t="s">
        <v>27</v>
      </c>
      <c r="F76" t="s">
        <v>28</v>
      </c>
      <c r="G76" t="s">
        <v>215</v>
      </c>
      <c r="H76" s="1" t="s">
        <v>243</v>
      </c>
      <c r="I76" t="s">
        <v>244</v>
      </c>
      <c r="J76" s="2">
        <v>3.6799999999999999E-2</v>
      </c>
      <c r="K76" s="3">
        <v>48945</v>
      </c>
      <c r="L76">
        <v>1201896</v>
      </c>
      <c r="M76">
        <v>1201896</v>
      </c>
      <c r="N76" s="4"/>
      <c r="O76" t="s">
        <v>32</v>
      </c>
      <c r="P76" s="5">
        <v>390538</v>
      </c>
      <c r="Q76" s="4">
        <v>0</v>
      </c>
      <c r="R76" t="s">
        <v>33</v>
      </c>
      <c r="S76" s="4">
        <v>110.24</v>
      </c>
      <c r="T76" s="6">
        <v>430529.09120000002</v>
      </c>
      <c r="U76" s="2">
        <v>3.457E-3</v>
      </c>
      <c r="V76" s="2">
        <v>3.457E-3</v>
      </c>
      <c r="W76" s="7">
        <v>1</v>
      </c>
      <c r="X76" s="1" t="s">
        <v>245</v>
      </c>
      <c r="Y76" t="s">
        <v>35</v>
      </c>
    </row>
    <row r="77" spans="1:25" x14ac:dyDescent="0.3">
      <c r="A77" t="s">
        <v>24</v>
      </c>
      <c r="B77" t="s">
        <v>25</v>
      </c>
      <c r="D77" t="s">
        <v>40</v>
      </c>
      <c r="E77" t="s">
        <v>27</v>
      </c>
      <c r="F77" t="s">
        <v>28</v>
      </c>
      <c r="G77" t="s">
        <v>215</v>
      </c>
      <c r="H77" s="1" t="s">
        <v>246</v>
      </c>
      <c r="I77" t="s">
        <v>247</v>
      </c>
      <c r="J77" s="2">
        <v>5.1499999999999997E-2</v>
      </c>
      <c r="K77" s="3">
        <v>50009</v>
      </c>
      <c r="L77">
        <v>1110915</v>
      </c>
      <c r="M77">
        <v>1110915</v>
      </c>
      <c r="N77" s="4"/>
      <c r="O77" t="s">
        <v>32</v>
      </c>
      <c r="P77" s="5">
        <v>1267481.42</v>
      </c>
      <c r="Q77" s="4">
        <v>0</v>
      </c>
      <c r="R77" t="s">
        <v>33</v>
      </c>
      <c r="S77" s="4">
        <v>154.66</v>
      </c>
      <c r="T77" s="6">
        <v>1960286.7641700001</v>
      </c>
      <c r="U77" s="2">
        <v>1.5741000000000002E-2</v>
      </c>
      <c r="V77" s="2">
        <v>1.5741000000000002E-2</v>
      </c>
      <c r="W77" s="7">
        <v>1</v>
      </c>
      <c r="X77" s="1" t="s">
        <v>248</v>
      </c>
      <c r="Y77" t="s">
        <v>35</v>
      </c>
    </row>
    <row r="78" spans="1:25" x14ac:dyDescent="0.3">
      <c r="A78" t="s">
        <v>24</v>
      </c>
      <c r="B78" t="s">
        <v>25</v>
      </c>
      <c r="D78" t="s">
        <v>40</v>
      </c>
      <c r="E78" t="s">
        <v>27</v>
      </c>
      <c r="F78" t="s">
        <v>28</v>
      </c>
      <c r="G78" t="s">
        <v>215</v>
      </c>
      <c r="H78" s="1" t="s">
        <v>249</v>
      </c>
      <c r="I78" t="s">
        <v>250</v>
      </c>
      <c r="J78" s="2">
        <v>2.3900000000000001E-2</v>
      </c>
      <c r="K78" s="3">
        <v>48112</v>
      </c>
      <c r="L78">
        <v>6000285</v>
      </c>
      <c r="M78">
        <v>6000285</v>
      </c>
      <c r="N78" s="4"/>
      <c r="O78" t="s">
        <v>32</v>
      </c>
      <c r="P78" s="5">
        <v>297388</v>
      </c>
      <c r="Q78" s="4">
        <v>0</v>
      </c>
      <c r="R78" t="s">
        <v>33</v>
      </c>
      <c r="S78" s="4">
        <v>119.01</v>
      </c>
      <c r="T78" s="6">
        <v>353921.45880000002</v>
      </c>
      <c r="U78" s="2">
        <v>2.8419999999999999E-3</v>
      </c>
      <c r="V78" s="2">
        <v>2.8419999999999999E-3</v>
      </c>
      <c r="W78" s="7">
        <v>1</v>
      </c>
      <c r="X78" s="1" t="s">
        <v>251</v>
      </c>
      <c r="Y78" t="s">
        <v>35</v>
      </c>
    </row>
    <row r="79" spans="1:25" x14ac:dyDescent="0.3">
      <c r="A79" t="s">
        <v>24</v>
      </c>
      <c r="B79" t="s">
        <v>25</v>
      </c>
      <c r="D79" t="s">
        <v>40</v>
      </c>
      <c r="E79" t="s">
        <v>27</v>
      </c>
      <c r="F79" t="s">
        <v>28</v>
      </c>
      <c r="G79" t="s">
        <v>215</v>
      </c>
      <c r="H79" s="1" t="s">
        <v>252</v>
      </c>
      <c r="I79" t="s">
        <v>250</v>
      </c>
      <c r="J79" s="2">
        <v>0.03</v>
      </c>
      <c r="K79" s="3">
        <v>48742</v>
      </c>
      <c r="L79">
        <v>1196781</v>
      </c>
      <c r="M79">
        <v>1196781</v>
      </c>
      <c r="N79" s="4"/>
      <c r="O79" t="s">
        <v>32</v>
      </c>
      <c r="P79" s="5">
        <v>347860</v>
      </c>
      <c r="Q79" s="4">
        <v>0</v>
      </c>
      <c r="R79" t="s">
        <v>33</v>
      </c>
      <c r="S79" s="4">
        <v>111.57</v>
      </c>
      <c r="T79" s="6">
        <v>388107.402</v>
      </c>
      <c r="U79" s="2">
        <v>3.1159999999999998E-3</v>
      </c>
      <c r="V79" s="2">
        <v>3.1159999999999998E-3</v>
      </c>
      <c r="W79" s="7">
        <v>1</v>
      </c>
      <c r="X79" s="1" t="s">
        <v>253</v>
      </c>
      <c r="Y79" t="s">
        <v>35</v>
      </c>
    </row>
    <row r="80" spans="1:25" x14ac:dyDescent="0.3">
      <c r="A80" t="s">
        <v>24</v>
      </c>
      <c r="B80" t="s">
        <v>25</v>
      </c>
      <c r="D80" t="s">
        <v>40</v>
      </c>
      <c r="E80" t="s">
        <v>27</v>
      </c>
      <c r="F80" t="s">
        <v>28</v>
      </c>
      <c r="G80" t="s">
        <v>215</v>
      </c>
      <c r="H80" s="1" t="s">
        <v>254</v>
      </c>
      <c r="I80" t="s">
        <v>255</v>
      </c>
      <c r="J80" s="2">
        <v>1.7999999999999999E-2</v>
      </c>
      <c r="K80" s="3">
        <v>48121</v>
      </c>
      <c r="L80">
        <v>1184951</v>
      </c>
      <c r="M80">
        <v>1184951</v>
      </c>
      <c r="N80" s="4"/>
      <c r="O80" t="s">
        <v>32</v>
      </c>
      <c r="P80" s="5">
        <v>364534.97</v>
      </c>
      <c r="Q80" s="4">
        <v>0</v>
      </c>
      <c r="R80" t="s">
        <v>33</v>
      </c>
      <c r="S80" s="4">
        <v>114.26</v>
      </c>
      <c r="T80" s="6">
        <v>416517.65672000003</v>
      </c>
      <c r="U80" s="2">
        <v>3.3440000000000002E-3</v>
      </c>
      <c r="V80" s="2">
        <v>3.3440000000000002E-3</v>
      </c>
      <c r="W80" s="7">
        <v>1</v>
      </c>
      <c r="X80" s="1" t="s">
        <v>256</v>
      </c>
      <c r="Y80" t="s">
        <v>35</v>
      </c>
    </row>
    <row r="81" spans="1:25" x14ac:dyDescent="0.3">
      <c r="A81" t="s">
        <v>24</v>
      </c>
      <c r="B81" t="s">
        <v>25</v>
      </c>
      <c r="D81" t="s">
        <v>40</v>
      </c>
      <c r="E81" t="s">
        <v>27</v>
      </c>
      <c r="F81" t="s">
        <v>28</v>
      </c>
      <c r="G81" t="s">
        <v>215</v>
      </c>
      <c r="H81" s="1" t="s">
        <v>257</v>
      </c>
      <c r="I81" t="s">
        <v>255</v>
      </c>
      <c r="J81" s="2">
        <v>3.3000000000000002E-2</v>
      </c>
      <c r="K81" s="3">
        <v>49218</v>
      </c>
      <c r="L81">
        <v>1193598</v>
      </c>
      <c r="M81">
        <v>1193598</v>
      </c>
      <c r="N81" s="4"/>
      <c r="O81" t="s">
        <v>32</v>
      </c>
      <c r="P81" s="5">
        <v>1030348.28</v>
      </c>
      <c r="Q81" s="4">
        <v>0</v>
      </c>
      <c r="R81" t="s">
        <v>33</v>
      </c>
      <c r="S81" s="4">
        <v>110.96</v>
      </c>
      <c r="T81" s="6">
        <v>1143274.4514899999</v>
      </c>
      <c r="U81" s="2">
        <v>9.1800000000000007E-3</v>
      </c>
      <c r="V81" s="2">
        <v>9.1800000000000007E-3</v>
      </c>
      <c r="W81" s="7">
        <v>1</v>
      </c>
      <c r="X81" s="1" t="s">
        <v>258</v>
      </c>
      <c r="Y81" t="s">
        <v>35</v>
      </c>
    </row>
    <row r="82" spans="1:25" x14ac:dyDescent="0.3">
      <c r="A82" t="s">
        <v>24</v>
      </c>
      <c r="B82" t="s">
        <v>25</v>
      </c>
      <c r="D82" t="s">
        <v>40</v>
      </c>
      <c r="E82" t="s">
        <v>27</v>
      </c>
      <c r="F82" t="s">
        <v>28</v>
      </c>
      <c r="G82" t="s">
        <v>259</v>
      </c>
      <c r="H82" s="1" t="s">
        <v>260</v>
      </c>
      <c r="I82" t="s">
        <v>261</v>
      </c>
      <c r="J82" s="2">
        <v>3.85E-2</v>
      </c>
      <c r="K82" s="3">
        <v>46387</v>
      </c>
      <c r="L82">
        <v>6270193</v>
      </c>
      <c r="M82">
        <v>6270193</v>
      </c>
      <c r="N82" s="4"/>
      <c r="O82" t="s">
        <v>32</v>
      </c>
      <c r="P82" s="5">
        <v>150000</v>
      </c>
      <c r="Q82" s="4">
        <v>0</v>
      </c>
      <c r="R82" t="s">
        <v>33</v>
      </c>
      <c r="S82" s="4">
        <v>85.59</v>
      </c>
      <c r="T82" s="6">
        <v>128385</v>
      </c>
      <c r="U82" s="2">
        <v>1.0300000000000001E-3</v>
      </c>
      <c r="V82" s="2">
        <v>1.0300000000000001E-3</v>
      </c>
      <c r="W82" s="7">
        <v>1</v>
      </c>
      <c r="X82" s="1" t="s">
        <v>262</v>
      </c>
      <c r="Y82" t="s">
        <v>35</v>
      </c>
    </row>
    <row r="83" spans="1:25" x14ac:dyDescent="0.3">
      <c r="A83" t="s">
        <v>24</v>
      </c>
      <c r="B83" t="s">
        <v>25</v>
      </c>
      <c r="D83" t="s">
        <v>40</v>
      </c>
      <c r="E83" t="s">
        <v>27</v>
      </c>
      <c r="F83" t="s">
        <v>28</v>
      </c>
      <c r="G83" t="s">
        <v>259</v>
      </c>
      <c r="H83" s="1" t="s">
        <v>263</v>
      </c>
      <c r="I83" t="s">
        <v>80</v>
      </c>
      <c r="J83" s="2">
        <v>2.12E-2</v>
      </c>
      <c r="K83" s="3">
        <v>47300</v>
      </c>
      <c r="L83">
        <v>1178250</v>
      </c>
      <c r="M83">
        <v>1178250</v>
      </c>
      <c r="N83" s="4"/>
      <c r="O83" t="s">
        <v>32</v>
      </c>
      <c r="P83" s="5">
        <v>80712</v>
      </c>
      <c r="Q83" s="4">
        <v>0</v>
      </c>
      <c r="R83" t="s">
        <v>33</v>
      </c>
      <c r="S83" s="4">
        <v>91.81</v>
      </c>
      <c r="T83" s="6">
        <v>74101.6872</v>
      </c>
      <c r="U83" s="2">
        <v>5.9500000000000004E-4</v>
      </c>
      <c r="V83" s="2">
        <v>5.9500000000000004E-4</v>
      </c>
      <c r="W83" s="7">
        <v>1</v>
      </c>
      <c r="X83" s="1" t="s">
        <v>264</v>
      </c>
      <c r="Y83" t="s">
        <v>35</v>
      </c>
    </row>
    <row r="84" spans="1:25" x14ac:dyDescent="0.3">
      <c r="A84" t="s">
        <v>24</v>
      </c>
      <c r="B84" t="s">
        <v>25</v>
      </c>
      <c r="D84" t="s">
        <v>40</v>
      </c>
      <c r="E84" t="s">
        <v>27</v>
      </c>
      <c r="F84" t="s">
        <v>28</v>
      </c>
      <c r="G84" t="s">
        <v>259</v>
      </c>
      <c r="H84" s="1" t="s">
        <v>265</v>
      </c>
      <c r="I84" t="s">
        <v>80</v>
      </c>
      <c r="J84" s="2">
        <v>2.6700000000000002E-2</v>
      </c>
      <c r="K84" s="3">
        <v>49491</v>
      </c>
      <c r="L84">
        <v>1178268</v>
      </c>
      <c r="M84">
        <v>1178268</v>
      </c>
      <c r="N84" s="4"/>
      <c r="O84" t="s">
        <v>32</v>
      </c>
      <c r="P84" s="5">
        <v>91489</v>
      </c>
      <c r="Q84" s="4">
        <v>0</v>
      </c>
      <c r="R84" t="s">
        <v>33</v>
      </c>
      <c r="S84" s="4">
        <v>89.62</v>
      </c>
      <c r="T84" s="6">
        <v>81992.441800000001</v>
      </c>
      <c r="U84" s="2">
        <v>6.5799999999999995E-4</v>
      </c>
      <c r="V84" s="2">
        <v>6.5799999999999995E-4</v>
      </c>
      <c r="W84" s="7">
        <v>1</v>
      </c>
      <c r="X84" s="1" t="s">
        <v>266</v>
      </c>
      <c r="Y84" t="s">
        <v>35</v>
      </c>
    </row>
    <row r="85" spans="1:25" x14ac:dyDescent="0.3">
      <c r="A85" t="s">
        <v>24</v>
      </c>
      <c r="B85" t="s">
        <v>25</v>
      </c>
      <c r="D85" t="s">
        <v>40</v>
      </c>
      <c r="E85" t="s">
        <v>27</v>
      </c>
      <c r="F85" t="s">
        <v>28</v>
      </c>
      <c r="G85" t="s">
        <v>259</v>
      </c>
      <c r="H85" s="1" t="s">
        <v>267</v>
      </c>
      <c r="I85" t="s">
        <v>268</v>
      </c>
      <c r="J85" s="2">
        <v>5.7000000000000002E-2</v>
      </c>
      <c r="K85" s="3">
        <v>47422</v>
      </c>
      <c r="L85">
        <v>1178144</v>
      </c>
      <c r="M85">
        <v>1178144</v>
      </c>
      <c r="N85" s="4"/>
      <c r="O85" t="s">
        <v>32</v>
      </c>
      <c r="P85" s="5">
        <v>434875.84</v>
      </c>
      <c r="Q85" s="4">
        <v>0</v>
      </c>
      <c r="R85" t="s">
        <v>33</v>
      </c>
      <c r="S85" s="4">
        <v>97</v>
      </c>
      <c r="T85" s="6">
        <v>421829.56479999999</v>
      </c>
      <c r="U85" s="2">
        <v>3.3869999999999998E-3</v>
      </c>
      <c r="V85" s="2">
        <v>3.3869999999999998E-3</v>
      </c>
      <c r="W85" s="7">
        <v>1</v>
      </c>
      <c r="X85" s="1" t="s">
        <v>269</v>
      </c>
      <c r="Y85" t="s">
        <v>35</v>
      </c>
    </row>
    <row r="86" spans="1:25" x14ac:dyDescent="0.3">
      <c r="A86" t="s">
        <v>24</v>
      </c>
      <c r="B86" t="s">
        <v>25</v>
      </c>
      <c r="D86" t="s">
        <v>40</v>
      </c>
      <c r="E86" t="s">
        <v>27</v>
      </c>
      <c r="F86" t="s">
        <v>28</v>
      </c>
      <c r="G86" t="s">
        <v>259</v>
      </c>
      <c r="H86" s="1" t="s">
        <v>270</v>
      </c>
      <c r="I86" t="s">
        <v>271</v>
      </c>
      <c r="J86" s="2">
        <v>4.7199999999999999E-2</v>
      </c>
      <c r="K86" s="3">
        <v>46446</v>
      </c>
      <c r="L86">
        <v>1184167</v>
      </c>
      <c r="M86">
        <v>1184167</v>
      </c>
      <c r="N86" s="4"/>
      <c r="O86" t="s">
        <v>32</v>
      </c>
      <c r="P86" s="5">
        <v>974438</v>
      </c>
      <c r="Q86" s="4">
        <v>0</v>
      </c>
      <c r="R86" t="s">
        <v>33</v>
      </c>
      <c r="S86" s="4">
        <v>96.08</v>
      </c>
      <c r="T86" s="6">
        <v>936240.03040000005</v>
      </c>
      <c r="U86" s="2">
        <v>7.5180000000000004E-3</v>
      </c>
      <c r="V86" s="2">
        <v>7.5180000000000004E-3</v>
      </c>
      <c r="W86" s="7">
        <v>1</v>
      </c>
      <c r="X86" s="1" t="s">
        <v>272</v>
      </c>
      <c r="Y86" t="s">
        <v>35</v>
      </c>
    </row>
    <row r="87" spans="1:25" x14ac:dyDescent="0.3">
      <c r="A87" t="s">
        <v>24</v>
      </c>
      <c r="B87" t="s">
        <v>25</v>
      </c>
      <c r="D87" t="s">
        <v>40</v>
      </c>
      <c r="E87" t="s">
        <v>27</v>
      </c>
      <c r="F87" t="s">
        <v>28</v>
      </c>
      <c r="G87" t="s">
        <v>259</v>
      </c>
      <c r="H87" s="1" t="s">
        <v>273</v>
      </c>
      <c r="I87" t="s">
        <v>274</v>
      </c>
      <c r="J87" s="2">
        <v>4.6899999999999997E-2</v>
      </c>
      <c r="K87" s="3">
        <v>46995</v>
      </c>
      <c r="L87">
        <v>1141332</v>
      </c>
      <c r="M87">
        <v>1141332</v>
      </c>
      <c r="N87" s="4"/>
      <c r="O87" t="s">
        <v>32</v>
      </c>
      <c r="P87" s="5">
        <v>1865983.45</v>
      </c>
      <c r="Q87" s="4">
        <v>0</v>
      </c>
      <c r="R87" t="s">
        <v>33</v>
      </c>
      <c r="S87" s="4">
        <v>87.56</v>
      </c>
      <c r="T87" s="6">
        <v>1633855.10882</v>
      </c>
      <c r="U87" s="2">
        <v>1.312E-2</v>
      </c>
      <c r="V87" s="2">
        <v>1.312E-2</v>
      </c>
      <c r="W87" s="7">
        <v>1</v>
      </c>
      <c r="X87" s="1" t="s">
        <v>275</v>
      </c>
      <c r="Y87" t="s">
        <v>35</v>
      </c>
    </row>
    <row r="88" spans="1:25" x14ac:dyDescent="0.3">
      <c r="A88" t="s">
        <v>24</v>
      </c>
      <c r="B88" t="s">
        <v>276</v>
      </c>
      <c r="C88" t="s">
        <v>277</v>
      </c>
      <c r="E88" t="s">
        <v>27</v>
      </c>
      <c r="G88" t="s">
        <v>278</v>
      </c>
      <c r="H88" s="1" t="s">
        <v>279</v>
      </c>
      <c r="I88" t="s">
        <v>280</v>
      </c>
      <c r="J88" s="2"/>
      <c r="K88" s="3"/>
      <c r="L88">
        <v>130013</v>
      </c>
      <c r="M88">
        <v>130013</v>
      </c>
      <c r="N88" s="4"/>
      <c r="O88" t="s">
        <v>32</v>
      </c>
      <c r="P88" s="5">
        <v>61559</v>
      </c>
      <c r="Q88" s="4">
        <v>0</v>
      </c>
      <c r="R88" t="s">
        <v>33</v>
      </c>
      <c r="S88" s="4">
        <v>3960</v>
      </c>
      <c r="T88" s="6">
        <v>2437736.4</v>
      </c>
      <c r="U88" s="2">
        <v>1.9574999999999999E-2</v>
      </c>
      <c r="V88" s="2">
        <v>1.9574999999999999E-2</v>
      </c>
      <c r="W88" s="7">
        <v>1</v>
      </c>
      <c r="X88" s="1" t="s">
        <v>281</v>
      </c>
      <c r="Y88" t="s">
        <v>35</v>
      </c>
    </row>
    <row r="89" spans="1:25" x14ac:dyDescent="0.3">
      <c r="A89" t="s">
        <v>24</v>
      </c>
      <c r="B89" t="s">
        <v>276</v>
      </c>
      <c r="C89" t="s">
        <v>277</v>
      </c>
      <c r="E89" t="s">
        <v>27</v>
      </c>
      <c r="G89" t="s">
        <v>278</v>
      </c>
      <c r="H89" s="1" t="s">
        <v>282</v>
      </c>
      <c r="I89" t="s">
        <v>283</v>
      </c>
      <c r="J89" s="2"/>
      <c r="K89" s="3"/>
      <c r="L89">
        <v>168013</v>
      </c>
      <c r="M89">
        <v>168013</v>
      </c>
      <c r="N89" s="4"/>
      <c r="O89" t="s">
        <v>32</v>
      </c>
      <c r="P89" s="5">
        <v>1291</v>
      </c>
      <c r="Q89" s="4">
        <v>0</v>
      </c>
      <c r="R89" t="s">
        <v>33</v>
      </c>
      <c r="S89" s="4">
        <v>28720</v>
      </c>
      <c r="T89" s="6">
        <v>370775.2</v>
      </c>
      <c r="U89" s="2">
        <v>2.977E-3</v>
      </c>
      <c r="V89" s="2">
        <v>2.977E-3</v>
      </c>
      <c r="W89" s="7">
        <v>1</v>
      </c>
      <c r="X89" s="1" t="s">
        <v>284</v>
      </c>
      <c r="Y89" t="s">
        <v>35</v>
      </c>
    </row>
    <row r="90" spans="1:25" x14ac:dyDescent="0.3">
      <c r="A90" t="s">
        <v>24</v>
      </c>
      <c r="B90" t="s">
        <v>276</v>
      </c>
      <c r="C90" t="s">
        <v>277</v>
      </c>
      <c r="E90" t="s">
        <v>27</v>
      </c>
      <c r="G90" t="s">
        <v>278</v>
      </c>
      <c r="H90" s="1" t="s">
        <v>285</v>
      </c>
      <c r="I90" t="s">
        <v>286</v>
      </c>
      <c r="J90" s="2"/>
      <c r="K90" s="3"/>
      <c r="L90">
        <v>1147685</v>
      </c>
      <c r="M90">
        <v>1147685</v>
      </c>
      <c r="N90" s="4"/>
      <c r="O90" t="s">
        <v>32</v>
      </c>
      <c r="P90" s="5">
        <v>19779</v>
      </c>
      <c r="Q90" s="4">
        <v>0</v>
      </c>
      <c r="R90" t="s">
        <v>33</v>
      </c>
      <c r="S90" s="4">
        <v>1795</v>
      </c>
      <c r="T90" s="6">
        <v>355033.05</v>
      </c>
      <c r="U90" s="2">
        <v>2.8500000000000001E-3</v>
      </c>
      <c r="V90" s="2">
        <v>2.8500000000000001E-3</v>
      </c>
      <c r="W90" s="7">
        <v>1</v>
      </c>
      <c r="X90" s="1" t="s">
        <v>287</v>
      </c>
      <c r="Y90" t="s">
        <v>35</v>
      </c>
    </row>
    <row r="91" spans="1:25" x14ac:dyDescent="0.3">
      <c r="A91" t="s">
        <v>24</v>
      </c>
      <c r="B91" t="s">
        <v>276</v>
      </c>
      <c r="C91" t="s">
        <v>277</v>
      </c>
      <c r="E91" t="s">
        <v>27</v>
      </c>
      <c r="G91" t="s">
        <v>288</v>
      </c>
      <c r="H91" s="1" t="s">
        <v>289</v>
      </c>
      <c r="I91" t="s">
        <v>290</v>
      </c>
      <c r="J91" s="2"/>
      <c r="K91" s="3"/>
      <c r="L91">
        <v>315010</v>
      </c>
      <c r="M91">
        <v>315010</v>
      </c>
      <c r="N91" s="4"/>
      <c r="O91" t="s">
        <v>32</v>
      </c>
      <c r="P91" s="5">
        <v>471</v>
      </c>
      <c r="Q91" s="4">
        <v>0</v>
      </c>
      <c r="R91" t="s">
        <v>33</v>
      </c>
      <c r="S91" s="4">
        <v>27150</v>
      </c>
      <c r="T91" s="6">
        <v>127876.5</v>
      </c>
      <c r="U91" s="2">
        <v>1.026E-3</v>
      </c>
      <c r="V91" s="2">
        <v>1.026E-3</v>
      </c>
      <c r="W91" s="7">
        <v>1</v>
      </c>
      <c r="X91" s="1" t="s">
        <v>291</v>
      </c>
      <c r="Y91" t="s">
        <v>35</v>
      </c>
    </row>
    <row r="92" spans="1:25" x14ac:dyDescent="0.3">
      <c r="A92" t="s">
        <v>24</v>
      </c>
      <c r="B92" t="s">
        <v>276</v>
      </c>
      <c r="C92" t="s">
        <v>277</v>
      </c>
      <c r="E92" t="s">
        <v>27</v>
      </c>
      <c r="G92" t="s">
        <v>292</v>
      </c>
      <c r="H92" s="1" t="s">
        <v>293</v>
      </c>
      <c r="I92" t="s">
        <v>294</v>
      </c>
      <c r="J92" s="2"/>
      <c r="K92" s="3"/>
      <c r="L92">
        <v>442012</v>
      </c>
      <c r="M92">
        <v>442012</v>
      </c>
      <c r="N92" s="4"/>
      <c r="O92" t="s">
        <v>32</v>
      </c>
      <c r="P92" s="5">
        <v>1030</v>
      </c>
      <c r="Q92" s="4">
        <v>0</v>
      </c>
      <c r="R92" t="s">
        <v>33</v>
      </c>
      <c r="S92" s="4">
        <v>4417</v>
      </c>
      <c r="T92" s="6">
        <v>45495.1</v>
      </c>
      <c r="U92" s="2">
        <v>3.6499999999999998E-4</v>
      </c>
      <c r="V92" s="2">
        <v>3.6499999999999998E-4</v>
      </c>
      <c r="W92" s="7">
        <v>1</v>
      </c>
      <c r="X92" s="1" t="s">
        <v>295</v>
      </c>
      <c r="Y92" t="s">
        <v>35</v>
      </c>
    </row>
    <row r="93" spans="1:25" x14ac:dyDescent="0.3">
      <c r="A93" t="s">
        <v>24</v>
      </c>
      <c r="B93" t="s">
        <v>276</v>
      </c>
      <c r="C93" t="s">
        <v>277</v>
      </c>
      <c r="E93" t="s">
        <v>27</v>
      </c>
      <c r="G93" t="s">
        <v>292</v>
      </c>
      <c r="H93" s="1" t="s">
        <v>296</v>
      </c>
      <c r="I93" t="s">
        <v>297</v>
      </c>
      <c r="J93" s="2"/>
      <c r="K93" s="3"/>
      <c r="L93">
        <v>1091651</v>
      </c>
      <c r="M93">
        <v>1091651</v>
      </c>
      <c r="N93" s="4"/>
      <c r="O93" t="s">
        <v>32</v>
      </c>
      <c r="P93" s="5">
        <v>1456</v>
      </c>
      <c r="Q93" s="4">
        <v>0</v>
      </c>
      <c r="R93" t="s">
        <v>33</v>
      </c>
      <c r="S93" s="4">
        <v>4951</v>
      </c>
      <c r="T93" s="6">
        <v>72086.559999999998</v>
      </c>
      <c r="U93" s="2">
        <v>5.7799999999999995E-4</v>
      </c>
      <c r="V93" s="2">
        <v>5.7799999999999995E-4</v>
      </c>
      <c r="W93" s="7">
        <v>1</v>
      </c>
      <c r="X93" s="1" t="s">
        <v>298</v>
      </c>
      <c r="Y93" t="s">
        <v>35</v>
      </c>
    </row>
    <row r="94" spans="1:25" x14ac:dyDescent="0.3">
      <c r="A94" t="s">
        <v>24</v>
      </c>
      <c r="B94" t="s">
        <v>276</v>
      </c>
      <c r="C94" t="s">
        <v>277</v>
      </c>
      <c r="E94" t="s">
        <v>27</v>
      </c>
      <c r="G94" t="s">
        <v>292</v>
      </c>
      <c r="H94" s="1" t="s">
        <v>299</v>
      </c>
      <c r="I94" t="s">
        <v>300</v>
      </c>
      <c r="J94" s="2"/>
      <c r="K94" s="3"/>
      <c r="L94">
        <v>1091685</v>
      </c>
      <c r="M94">
        <v>1091685</v>
      </c>
      <c r="N94" s="4"/>
      <c r="O94" t="s">
        <v>32</v>
      </c>
      <c r="P94" s="5">
        <v>274944</v>
      </c>
      <c r="Q94" s="4">
        <v>0</v>
      </c>
      <c r="R94" t="s">
        <v>33</v>
      </c>
      <c r="S94" s="4">
        <v>1461</v>
      </c>
      <c r="T94" s="6">
        <v>4016931.84</v>
      </c>
      <c r="U94" s="2">
        <v>3.2256E-2</v>
      </c>
      <c r="V94" s="2">
        <v>3.2256E-2</v>
      </c>
      <c r="W94" s="7">
        <v>1</v>
      </c>
      <c r="X94" s="1" t="s">
        <v>301</v>
      </c>
      <c r="Y94" t="s">
        <v>35</v>
      </c>
    </row>
    <row r="95" spans="1:25" x14ac:dyDescent="0.3">
      <c r="A95" t="s">
        <v>24</v>
      </c>
      <c r="B95" t="s">
        <v>276</v>
      </c>
      <c r="C95" t="s">
        <v>277</v>
      </c>
      <c r="E95" t="s">
        <v>27</v>
      </c>
      <c r="G95" t="s">
        <v>292</v>
      </c>
      <c r="H95" s="1" t="s">
        <v>302</v>
      </c>
      <c r="I95" t="s">
        <v>303</v>
      </c>
      <c r="J95" s="2"/>
      <c r="K95" s="3"/>
      <c r="L95">
        <v>354019</v>
      </c>
      <c r="M95">
        <v>354019</v>
      </c>
      <c r="N95" s="4"/>
      <c r="O95" t="s">
        <v>32</v>
      </c>
      <c r="P95" s="5">
        <v>579</v>
      </c>
      <c r="Q95" s="4">
        <v>0</v>
      </c>
      <c r="R95" t="s">
        <v>33</v>
      </c>
      <c r="S95" s="4">
        <v>22500</v>
      </c>
      <c r="T95" s="6">
        <v>130275</v>
      </c>
      <c r="U95" s="2">
        <v>1.0460000000000001E-3</v>
      </c>
      <c r="V95" s="2">
        <v>1.0460000000000001E-3</v>
      </c>
      <c r="W95" s="7">
        <v>1</v>
      </c>
      <c r="X95" s="1" t="s">
        <v>304</v>
      </c>
      <c r="Y95" t="s">
        <v>35</v>
      </c>
    </row>
    <row r="96" spans="1:25" x14ac:dyDescent="0.3">
      <c r="A96" t="s">
        <v>24</v>
      </c>
      <c r="B96" t="s">
        <v>276</v>
      </c>
      <c r="C96" t="s">
        <v>277</v>
      </c>
      <c r="E96" t="s">
        <v>27</v>
      </c>
      <c r="G96" t="s">
        <v>292</v>
      </c>
      <c r="H96" s="1" t="s">
        <v>305</v>
      </c>
      <c r="I96" t="s">
        <v>306</v>
      </c>
      <c r="J96" s="2"/>
      <c r="K96" s="3"/>
      <c r="L96">
        <v>1083831</v>
      </c>
      <c r="M96">
        <v>1083831</v>
      </c>
      <c r="N96" s="4"/>
      <c r="O96" t="s">
        <v>32</v>
      </c>
      <c r="P96" s="5">
        <v>5932</v>
      </c>
      <c r="Q96" s="4">
        <v>0</v>
      </c>
      <c r="R96" t="s">
        <v>33</v>
      </c>
      <c r="S96" s="4">
        <v>2347</v>
      </c>
      <c r="T96" s="6">
        <v>139224.04</v>
      </c>
      <c r="U96" s="2">
        <v>1.1169999999999999E-3</v>
      </c>
      <c r="V96" s="2">
        <v>1.1169999999999999E-3</v>
      </c>
      <c r="W96" s="7">
        <v>1</v>
      </c>
      <c r="X96" s="1" t="s">
        <v>307</v>
      </c>
      <c r="Y96" t="s">
        <v>35</v>
      </c>
    </row>
    <row r="97" spans="1:25" x14ac:dyDescent="0.3">
      <c r="A97" t="s">
        <v>24</v>
      </c>
      <c r="B97" t="s">
        <v>276</v>
      </c>
      <c r="C97" t="s">
        <v>277</v>
      </c>
      <c r="E97" t="s">
        <v>27</v>
      </c>
      <c r="G97" t="s">
        <v>308</v>
      </c>
      <c r="H97" s="1" t="s">
        <v>309</v>
      </c>
      <c r="I97" t="s">
        <v>121</v>
      </c>
      <c r="J97" s="2"/>
      <c r="K97" s="3"/>
      <c r="L97">
        <v>2590248</v>
      </c>
      <c r="M97">
        <v>2590248</v>
      </c>
      <c r="N97" s="4"/>
      <c r="O97" t="s">
        <v>32</v>
      </c>
      <c r="P97" s="5">
        <v>917025</v>
      </c>
      <c r="Q97" s="4">
        <v>0</v>
      </c>
      <c r="R97" t="s">
        <v>33</v>
      </c>
      <c r="S97" s="4">
        <v>102.1</v>
      </c>
      <c r="T97" s="6">
        <v>936282.52500000002</v>
      </c>
      <c r="U97" s="2">
        <v>7.5180000000000004E-3</v>
      </c>
      <c r="V97" s="2">
        <v>7.5180000000000004E-3</v>
      </c>
      <c r="W97" s="7">
        <v>1</v>
      </c>
      <c r="X97" s="1" t="s">
        <v>310</v>
      </c>
      <c r="Y97" t="s">
        <v>35</v>
      </c>
    </row>
    <row r="98" spans="1:25" x14ac:dyDescent="0.3">
      <c r="A98" t="s">
        <v>24</v>
      </c>
      <c r="B98" t="s">
        <v>276</v>
      </c>
      <c r="C98" t="s">
        <v>277</v>
      </c>
      <c r="E98" t="s">
        <v>27</v>
      </c>
      <c r="G98" t="s">
        <v>308</v>
      </c>
      <c r="H98" s="1" t="s">
        <v>311</v>
      </c>
      <c r="I98" t="s">
        <v>105</v>
      </c>
      <c r="J98" s="2"/>
      <c r="K98" s="3"/>
      <c r="L98">
        <v>1198910</v>
      </c>
      <c r="M98">
        <v>1198910</v>
      </c>
      <c r="N98" s="4"/>
      <c r="O98" t="s">
        <v>32</v>
      </c>
      <c r="P98" s="5">
        <v>10632</v>
      </c>
      <c r="Q98" s="4">
        <v>0</v>
      </c>
      <c r="R98" t="s">
        <v>33</v>
      </c>
      <c r="S98" s="4">
        <v>5700</v>
      </c>
      <c r="T98" s="6">
        <v>606024</v>
      </c>
      <c r="U98" s="2">
        <v>4.8659999999999997E-3</v>
      </c>
      <c r="V98" s="2">
        <v>4.8659999999999997E-3</v>
      </c>
      <c r="W98" s="7">
        <v>1</v>
      </c>
      <c r="X98" s="1" t="s">
        <v>312</v>
      </c>
      <c r="Y98" t="s">
        <v>35</v>
      </c>
    </row>
    <row r="99" spans="1:25" x14ac:dyDescent="0.3">
      <c r="A99" t="s">
        <v>24</v>
      </c>
      <c r="B99" t="s">
        <v>276</v>
      </c>
      <c r="C99" t="s">
        <v>277</v>
      </c>
      <c r="E99" t="s">
        <v>27</v>
      </c>
      <c r="G99" t="s">
        <v>313</v>
      </c>
      <c r="H99" s="1" t="s">
        <v>314</v>
      </c>
      <c r="I99" t="s">
        <v>227</v>
      </c>
      <c r="J99" s="2"/>
      <c r="K99" s="3"/>
      <c r="L99">
        <v>1166768</v>
      </c>
      <c r="M99">
        <v>1166768</v>
      </c>
      <c r="N99" s="4"/>
      <c r="O99" t="s">
        <v>32</v>
      </c>
      <c r="P99" s="5">
        <v>534</v>
      </c>
      <c r="Q99" s="4">
        <v>0</v>
      </c>
      <c r="R99" t="s">
        <v>33</v>
      </c>
      <c r="S99" s="4">
        <v>6019</v>
      </c>
      <c r="T99" s="6">
        <v>32141.46</v>
      </c>
      <c r="U99" s="2">
        <v>2.5799999999999998E-4</v>
      </c>
      <c r="V99" s="2">
        <v>2.5799999999999998E-4</v>
      </c>
      <c r="W99" s="7">
        <v>1</v>
      </c>
      <c r="X99" s="1" t="s">
        <v>315</v>
      </c>
      <c r="Y99" t="s">
        <v>35</v>
      </c>
    </row>
    <row r="100" spans="1:25" x14ac:dyDescent="0.3">
      <c r="A100" t="s">
        <v>24</v>
      </c>
      <c r="B100" t="s">
        <v>276</v>
      </c>
      <c r="C100" t="s">
        <v>277</v>
      </c>
      <c r="E100" t="s">
        <v>27</v>
      </c>
      <c r="G100" t="s">
        <v>313</v>
      </c>
      <c r="H100" s="1" t="s">
        <v>316</v>
      </c>
      <c r="I100" t="s">
        <v>317</v>
      </c>
      <c r="J100" s="2"/>
      <c r="K100" s="3"/>
      <c r="L100">
        <v>1172287</v>
      </c>
      <c r="M100">
        <v>1172287</v>
      </c>
      <c r="N100" s="4"/>
      <c r="O100" t="s">
        <v>32</v>
      </c>
      <c r="P100" s="5">
        <v>333</v>
      </c>
      <c r="Q100" s="4">
        <v>0</v>
      </c>
      <c r="R100" t="s">
        <v>33</v>
      </c>
      <c r="S100" s="4">
        <v>6706</v>
      </c>
      <c r="T100" s="6">
        <v>22330.98</v>
      </c>
      <c r="U100" s="2">
        <v>1.7899999999999999E-4</v>
      </c>
      <c r="V100" s="2">
        <v>1.7899999999999999E-4</v>
      </c>
      <c r="W100" s="7">
        <v>1</v>
      </c>
      <c r="X100" s="1" t="s">
        <v>318</v>
      </c>
      <c r="Y100" t="s">
        <v>35</v>
      </c>
    </row>
    <row r="101" spans="1:25" x14ac:dyDescent="0.3">
      <c r="A101" t="s">
        <v>24</v>
      </c>
      <c r="B101" t="s">
        <v>276</v>
      </c>
      <c r="C101" t="s">
        <v>277</v>
      </c>
      <c r="E101" t="s">
        <v>27</v>
      </c>
      <c r="G101" t="s">
        <v>319</v>
      </c>
      <c r="H101" s="1" t="s">
        <v>320</v>
      </c>
      <c r="I101" t="s">
        <v>321</v>
      </c>
      <c r="J101" s="2"/>
      <c r="K101" s="3"/>
      <c r="L101">
        <v>1094986</v>
      </c>
      <c r="M101">
        <v>1094986</v>
      </c>
      <c r="N101" s="4"/>
      <c r="O101" t="s">
        <v>32</v>
      </c>
      <c r="P101" s="5">
        <v>324885</v>
      </c>
      <c r="Q101" s="4">
        <v>0</v>
      </c>
      <c r="R101" t="s">
        <v>33</v>
      </c>
      <c r="S101" s="4">
        <v>329.9</v>
      </c>
      <c r="T101" s="6">
        <v>1071795.615</v>
      </c>
      <c r="U101" s="2">
        <v>8.6060000000000008E-3</v>
      </c>
      <c r="V101" s="2">
        <v>8.6060000000000008E-3</v>
      </c>
      <c r="W101" s="7">
        <v>1</v>
      </c>
      <c r="X101" s="1" t="s">
        <v>322</v>
      </c>
      <c r="Y101" t="s">
        <v>35</v>
      </c>
    </row>
    <row r="102" spans="1:25" x14ac:dyDescent="0.3">
      <c r="A102" t="s">
        <v>24</v>
      </c>
      <c r="B102" t="s">
        <v>276</v>
      </c>
      <c r="C102" t="s">
        <v>277</v>
      </c>
      <c r="E102" t="s">
        <v>27</v>
      </c>
      <c r="G102" t="s">
        <v>319</v>
      </c>
      <c r="H102" s="1" t="s">
        <v>323</v>
      </c>
      <c r="I102" t="s">
        <v>46</v>
      </c>
      <c r="J102" s="2"/>
      <c r="K102" s="3"/>
      <c r="L102">
        <v>1170893</v>
      </c>
      <c r="M102">
        <v>1170893</v>
      </c>
      <c r="N102" s="4"/>
      <c r="O102" t="s">
        <v>32</v>
      </c>
      <c r="P102" s="5">
        <v>127255</v>
      </c>
      <c r="Q102" s="4">
        <v>0</v>
      </c>
      <c r="R102" t="s">
        <v>33</v>
      </c>
      <c r="S102" s="4">
        <v>2600</v>
      </c>
      <c r="T102" s="6">
        <v>3308630</v>
      </c>
      <c r="U102" s="2">
        <v>2.6568000000000001E-2</v>
      </c>
      <c r="V102" s="2">
        <v>2.6568000000000001E-2</v>
      </c>
      <c r="W102" s="7">
        <v>1</v>
      </c>
      <c r="X102" s="1" t="s">
        <v>324</v>
      </c>
      <c r="Y102" t="s">
        <v>35</v>
      </c>
    </row>
    <row r="103" spans="1:25" x14ac:dyDescent="0.3">
      <c r="A103" t="s">
        <v>24</v>
      </c>
      <c r="B103" t="s">
        <v>276</v>
      </c>
      <c r="C103" t="s">
        <v>277</v>
      </c>
      <c r="E103" t="s">
        <v>27</v>
      </c>
      <c r="G103" t="s">
        <v>319</v>
      </c>
      <c r="H103" s="1" t="s">
        <v>325</v>
      </c>
      <c r="I103" t="s">
        <v>326</v>
      </c>
      <c r="J103" s="2"/>
      <c r="K103" s="3"/>
      <c r="L103">
        <v>1168186</v>
      </c>
      <c r="M103">
        <v>1168186</v>
      </c>
      <c r="N103" s="4"/>
      <c r="O103" t="s">
        <v>32</v>
      </c>
      <c r="P103" s="5">
        <v>1232</v>
      </c>
      <c r="Q103" s="4">
        <v>0</v>
      </c>
      <c r="R103" t="s">
        <v>33</v>
      </c>
      <c r="S103" s="4">
        <v>48900</v>
      </c>
      <c r="T103" s="6">
        <v>602448</v>
      </c>
      <c r="U103" s="2">
        <v>4.8370000000000002E-3</v>
      </c>
      <c r="V103" s="2">
        <v>4.8370000000000002E-3</v>
      </c>
      <c r="W103" s="7">
        <v>1</v>
      </c>
      <c r="X103" s="1" t="s">
        <v>327</v>
      </c>
      <c r="Y103" t="s">
        <v>35</v>
      </c>
    </row>
    <row r="104" spans="1:25" x14ac:dyDescent="0.3">
      <c r="A104" t="s">
        <v>24</v>
      </c>
      <c r="B104" t="s">
        <v>276</v>
      </c>
      <c r="C104" t="s">
        <v>277</v>
      </c>
      <c r="E104" t="s">
        <v>27</v>
      </c>
      <c r="G104" t="s">
        <v>328</v>
      </c>
      <c r="H104" s="1" t="s">
        <v>329</v>
      </c>
      <c r="I104" t="s">
        <v>118</v>
      </c>
      <c r="J104" s="2"/>
      <c r="K104" s="3"/>
      <c r="L104">
        <v>209015</v>
      </c>
      <c r="M104">
        <v>209015</v>
      </c>
      <c r="N104" s="4"/>
      <c r="O104" t="s">
        <v>32</v>
      </c>
      <c r="P104" s="5">
        <v>7246</v>
      </c>
      <c r="Q104" s="4">
        <v>0</v>
      </c>
      <c r="R104" t="s">
        <v>33</v>
      </c>
      <c r="S104" s="4">
        <v>13030</v>
      </c>
      <c r="T104" s="6">
        <v>944153.8</v>
      </c>
      <c r="U104" s="2">
        <v>7.5810000000000001E-3</v>
      </c>
      <c r="V104" s="2">
        <v>7.5810000000000001E-3</v>
      </c>
      <c r="W104" s="7">
        <v>1</v>
      </c>
      <c r="X104" s="1" t="s">
        <v>330</v>
      </c>
      <c r="Y104" t="s">
        <v>35</v>
      </c>
    </row>
    <row r="105" spans="1:25" x14ac:dyDescent="0.3">
      <c r="A105" t="s">
        <v>24</v>
      </c>
      <c r="B105" t="s">
        <v>276</v>
      </c>
      <c r="C105" t="s">
        <v>277</v>
      </c>
      <c r="E105" t="s">
        <v>27</v>
      </c>
      <c r="G105" t="s">
        <v>328</v>
      </c>
      <c r="H105" s="1" t="s">
        <v>331</v>
      </c>
      <c r="I105" t="s">
        <v>332</v>
      </c>
      <c r="J105" s="2"/>
      <c r="K105" s="3"/>
      <c r="L105">
        <v>1176981</v>
      </c>
      <c r="M105">
        <v>1176981</v>
      </c>
      <c r="N105" s="4"/>
      <c r="O105" t="s">
        <v>32</v>
      </c>
      <c r="P105" s="5">
        <v>188232</v>
      </c>
      <c r="Q105" s="4">
        <v>0</v>
      </c>
      <c r="R105" t="s">
        <v>33</v>
      </c>
      <c r="S105" s="4">
        <v>1700</v>
      </c>
      <c r="T105" s="6">
        <v>3199944</v>
      </c>
      <c r="U105" s="2">
        <v>2.5696E-2</v>
      </c>
      <c r="V105" s="2">
        <v>2.5696E-2</v>
      </c>
      <c r="W105" s="7">
        <v>1</v>
      </c>
      <c r="X105" s="1" t="s">
        <v>333</v>
      </c>
      <c r="Y105" t="s">
        <v>35</v>
      </c>
    </row>
    <row r="106" spans="1:25" x14ac:dyDescent="0.3">
      <c r="A106" t="s">
        <v>24</v>
      </c>
      <c r="B106" t="s">
        <v>276</v>
      </c>
      <c r="C106" t="s">
        <v>277</v>
      </c>
      <c r="E106" t="s">
        <v>27</v>
      </c>
      <c r="G106" t="s">
        <v>328</v>
      </c>
      <c r="H106" s="1" t="s">
        <v>334</v>
      </c>
      <c r="I106" t="s">
        <v>335</v>
      </c>
      <c r="J106" s="2"/>
      <c r="K106" s="3"/>
      <c r="L106">
        <v>1129501</v>
      </c>
      <c r="M106">
        <v>1129501</v>
      </c>
      <c r="N106" s="4"/>
      <c r="O106" t="s">
        <v>32</v>
      </c>
      <c r="P106" s="5">
        <v>28</v>
      </c>
      <c r="Q106" s="4">
        <v>0</v>
      </c>
      <c r="R106" t="s">
        <v>33</v>
      </c>
      <c r="S106" s="4">
        <v>22850</v>
      </c>
      <c r="T106" s="6">
        <v>6398</v>
      </c>
      <c r="U106" s="2">
        <v>5.1E-5</v>
      </c>
      <c r="V106" s="2">
        <v>5.1E-5</v>
      </c>
      <c r="W106" s="7">
        <v>1</v>
      </c>
      <c r="X106" s="1" t="s">
        <v>336</v>
      </c>
      <c r="Y106" t="s">
        <v>35</v>
      </c>
    </row>
    <row r="107" spans="1:25" x14ac:dyDescent="0.3">
      <c r="A107" t="s">
        <v>24</v>
      </c>
      <c r="B107" t="s">
        <v>276</v>
      </c>
      <c r="C107" t="s">
        <v>277</v>
      </c>
      <c r="E107" t="s">
        <v>27</v>
      </c>
      <c r="G107" t="s">
        <v>328</v>
      </c>
      <c r="H107" s="1" t="s">
        <v>337</v>
      </c>
      <c r="I107" t="s">
        <v>49</v>
      </c>
      <c r="J107" s="2"/>
      <c r="K107" s="3"/>
      <c r="L107">
        <v>767012</v>
      </c>
      <c r="M107">
        <v>767012</v>
      </c>
      <c r="N107" s="4"/>
      <c r="O107" t="s">
        <v>32</v>
      </c>
      <c r="P107" s="5">
        <v>100</v>
      </c>
      <c r="Q107" s="4">
        <v>0</v>
      </c>
      <c r="R107" t="s">
        <v>33</v>
      </c>
      <c r="S107" s="4">
        <v>16000</v>
      </c>
      <c r="T107" s="6">
        <v>16000</v>
      </c>
      <c r="U107" s="2">
        <v>1.2799999999999999E-4</v>
      </c>
      <c r="V107" s="2">
        <v>1.2799999999999999E-4</v>
      </c>
      <c r="W107" s="7">
        <v>1</v>
      </c>
      <c r="X107" s="1" t="s">
        <v>338</v>
      </c>
      <c r="Y107" t="s">
        <v>35</v>
      </c>
    </row>
    <row r="108" spans="1:25" x14ac:dyDescent="0.3">
      <c r="A108" t="s">
        <v>24</v>
      </c>
      <c r="B108" t="s">
        <v>276</v>
      </c>
      <c r="C108" t="s">
        <v>277</v>
      </c>
      <c r="E108" t="s">
        <v>27</v>
      </c>
      <c r="G108" t="s">
        <v>328</v>
      </c>
      <c r="H108" s="1" t="s">
        <v>339</v>
      </c>
      <c r="I108" t="s">
        <v>340</v>
      </c>
      <c r="J108" s="2"/>
      <c r="K108" s="3"/>
      <c r="L108">
        <v>1173228</v>
      </c>
      <c r="M108">
        <v>1173228</v>
      </c>
      <c r="N108" s="4"/>
      <c r="O108" t="s">
        <v>32</v>
      </c>
      <c r="P108" s="5">
        <v>707</v>
      </c>
      <c r="Q108" s="4">
        <v>0</v>
      </c>
      <c r="R108" t="s">
        <v>33</v>
      </c>
      <c r="S108" s="4">
        <v>1829</v>
      </c>
      <c r="T108" s="6">
        <v>12931.03</v>
      </c>
      <c r="U108" s="2">
        <v>1.03E-4</v>
      </c>
      <c r="V108" s="2">
        <v>1.03E-4</v>
      </c>
      <c r="W108" s="7">
        <v>1</v>
      </c>
      <c r="X108" s="1" t="s">
        <v>341</v>
      </c>
      <c r="Y108" t="s">
        <v>35</v>
      </c>
    </row>
    <row r="109" spans="1:25" x14ac:dyDescent="0.3">
      <c r="A109" t="s">
        <v>24</v>
      </c>
      <c r="B109" t="s">
        <v>276</v>
      </c>
      <c r="C109" t="s">
        <v>277</v>
      </c>
      <c r="E109" t="s">
        <v>27</v>
      </c>
      <c r="G109" t="s">
        <v>342</v>
      </c>
      <c r="H109" s="1" t="s">
        <v>343</v>
      </c>
      <c r="I109" t="s">
        <v>344</v>
      </c>
      <c r="J109" s="2"/>
      <c r="K109" s="3"/>
      <c r="L109">
        <v>338012</v>
      </c>
      <c r="M109">
        <v>338012</v>
      </c>
      <c r="N109" s="4"/>
      <c r="O109" t="s">
        <v>32</v>
      </c>
      <c r="P109" s="5">
        <v>139231</v>
      </c>
      <c r="Q109" s="4">
        <v>0</v>
      </c>
      <c r="R109" t="s">
        <v>33</v>
      </c>
      <c r="S109" s="4">
        <v>4172</v>
      </c>
      <c r="T109" s="6">
        <v>5808717.3200000003</v>
      </c>
      <c r="U109" s="2">
        <v>4.6643999999999998E-2</v>
      </c>
      <c r="V109" s="2">
        <v>4.6643999999999998E-2</v>
      </c>
      <c r="W109" s="7">
        <v>1</v>
      </c>
      <c r="X109" s="1" t="s">
        <v>345</v>
      </c>
      <c r="Y109" t="s">
        <v>35</v>
      </c>
    </row>
    <row r="110" spans="1:25" x14ac:dyDescent="0.3">
      <c r="A110" t="s">
        <v>24</v>
      </c>
      <c r="B110" t="s">
        <v>276</v>
      </c>
      <c r="C110" t="s">
        <v>277</v>
      </c>
      <c r="E110" t="s">
        <v>27</v>
      </c>
      <c r="G110" t="s">
        <v>29</v>
      </c>
      <c r="H110" s="1" t="s">
        <v>346</v>
      </c>
      <c r="I110" t="s">
        <v>347</v>
      </c>
      <c r="J110" s="2"/>
      <c r="K110" s="3"/>
      <c r="L110">
        <v>823013</v>
      </c>
      <c r="M110">
        <v>823013</v>
      </c>
      <c r="N110" s="4"/>
      <c r="O110" t="s">
        <v>32</v>
      </c>
      <c r="P110" s="5">
        <v>110234</v>
      </c>
      <c r="Q110" s="4">
        <v>0</v>
      </c>
      <c r="R110" t="s">
        <v>33</v>
      </c>
      <c r="S110" s="4">
        <v>2550</v>
      </c>
      <c r="T110" s="6">
        <v>2810967</v>
      </c>
      <c r="U110" s="2">
        <v>2.2571999999999998E-2</v>
      </c>
      <c r="V110" s="2">
        <v>2.2571999999999998E-2</v>
      </c>
      <c r="W110" s="7">
        <v>1</v>
      </c>
      <c r="X110" s="1" t="s">
        <v>348</v>
      </c>
      <c r="Y110" t="s">
        <v>35</v>
      </c>
    </row>
    <row r="111" spans="1:25" x14ac:dyDescent="0.3">
      <c r="A111" t="s">
        <v>24</v>
      </c>
      <c r="B111" t="s">
        <v>276</v>
      </c>
      <c r="C111" t="s">
        <v>277</v>
      </c>
      <c r="E111" t="s">
        <v>27</v>
      </c>
      <c r="G111" t="s">
        <v>29</v>
      </c>
      <c r="H111" s="1" t="s">
        <v>349</v>
      </c>
      <c r="I111" t="s">
        <v>350</v>
      </c>
      <c r="J111" s="2"/>
      <c r="K111" s="3"/>
      <c r="L111">
        <v>715011</v>
      </c>
      <c r="M111">
        <v>715011</v>
      </c>
      <c r="N111" s="4"/>
      <c r="O111" t="s">
        <v>32</v>
      </c>
      <c r="P111" s="5">
        <v>17451</v>
      </c>
      <c r="Q111" s="4">
        <v>0</v>
      </c>
      <c r="R111" t="s">
        <v>33</v>
      </c>
      <c r="S111" s="4">
        <v>2118</v>
      </c>
      <c r="T111" s="6">
        <v>369612.18</v>
      </c>
      <c r="U111" s="2">
        <v>2.9680000000000002E-3</v>
      </c>
      <c r="V111" s="2">
        <v>2.9680000000000002E-3</v>
      </c>
      <c r="W111" s="7">
        <v>1</v>
      </c>
      <c r="X111" s="1" t="s">
        <v>351</v>
      </c>
      <c r="Y111" t="s">
        <v>35</v>
      </c>
    </row>
    <row r="112" spans="1:25" x14ac:dyDescent="0.3">
      <c r="A112" t="s">
        <v>24</v>
      </c>
      <c r="B112" t="s">
        <v>276</v>
      </c>
      <c r="C112" t="s">
        <v>277</v>
      </c>
      <c r="E112" t="s">
        <v>27</v>
      </c>
      <c r="G112" t="s">
        <v>29</v>
      </c>
      <c r="H112" s="1" t="s">
        <v>352</v>
      </c>
      <c r="I112" t="s">
        <v>138</v>
      </c>
      <c r="J112" s="2"/>
      <c r="K112" s="3"/>
      <c r="L112">
        <v>421016</v>
      </c>
      <c r="M112">
        <v>421016</v>
      </c>
      <c r="N112" s="4"/>
      <c r="O112" t="s">
        <v>32</v>
      </c>
      <c r="P112" s="5">
        <v>46031</v>
      </c>
      <c r="Q112" s="4">
        <v>0</v>
      </c>
      <c r="R112" t="s">
        <v>33</v>
      </c>
      <c r="S112" s="4">
        <v>978.8</v>
      </c>
      <c r="T112" s="6">
        <v>450551.42800000001</v>
      </c>
      <c r="U112" s="2">
        <v>3.617E-3</v>
      </c>
      <c r="V112" s="2">
        <v>3.617E-3</v>
      </c>
      <c r="W112" s="7">
        <v>1</v>
      </c>
      <c r="X112" s="1" t="s">
        <v>353</v>
      </c>
      <c r="Y112" t="s">
        <v>35</v>
      </c>
    </row>
    <row r="113" spans="1:25" x14ac:dyDescent="0.3">
      <c r="A113" t="s">
        <v>24</v>
      </c>
      <c r="B113" t="s">
        <v>276</v>
      </c>
      <c r="C113" t="s">
        <v>277</v>
      </c>
      <c r="E113" t="s">
        <v>27</v>
      </c>
      <c r="G113" t="s">
        <v>29</v>
      </c>
      <c r="H113" s="1" t="s">
        <v>354</v>
      </c>
      <c r="I113" t="s">
        <v>355</v>
      </c>
      <c r="J113" s="2"/>
      <c r="K113" s="3"/>
      <c r="L113">
        <v>1102128</v>
      </c>
      <c r="M113">
        <v>1102128</v>
      </c>
      <c r="N113" s="4"/>
      <c r="O113" t="s">
        <v>32</v>
      </c>
      <c r="P113" s="5">
        <v>3602</v>
      </c>
      <c r="Q113" s="4">
        <v>0</v>
      </c>
      <c r="R113" t="s">
        <v>33</v>
      </c>
      <c r="S113" s="4">
        <v>17260</v>
      </c>
      <c r="T113" s="6">
        <v>621705.19999999995</v>
      </c>
      <c r="U113" s="2">
        <v>4.9919999999999999E-3</v>
      </c>
      <c r="V113" s="2">
        <v>4.9919999999999999E-3</v>
      </c>
      <c r="W113" s="7">
        <v>1</v>
      </c>
      <c r="X113" s="1" t="s">
        <v>356</v>
      </c>
      <c r="Y113" t="s">
        <v>35</v>
      </c>
    </row>
    <row r="114" spans="1:25" x14ac:dyDescent="0.3">
      <c r="A114" t="s">
        <v>24</v>
      </c>
      <c r="B114" t="s">
        <v>276</v>
      </c>
      <c r="C114" t="s">
        <v>277</v>
      </c>
      <c r="E114" t="s">
        <v>27</v>
      </c>
      <c r="G114" t="s">
        <v>357</v>
      </c>
      <c r="H114" s="1" t="s">
        <v>358</v>
      </c>
      <c r="I114" t="s">
        <v>359</v>
      </c>
      <c r="J114" s="2"/>
      <c r="K114" s="3"/>
      <c r="L114">
        <v>662577</v>
      </c>
      <c r="M114">
        <v>662577</v>
      </c>
      <c r="N114" s="4"/>
      <c r="O114" t="s">
        <v>32</v>
      </c>
      <c r="P114" s="5">
        <v>34706</v>
      </c>
      <c r="Q114" s="4">
        <v>0</v>
      </c>
      <c r="R114" t="s">
        <v>33</v>
      </c>
      <c r="S114" s="4">
        <v>7899</v>
      </c>
      <c r="T114" s="6">
        <v>2741426.94</v>
      </c>
      <c r="U114" s="2">
        <v>2.2013999999999999E-2</v>
      </c>
      <c r="V114" s="2">
        <v>2.2013999999999999E-2</v>
      </c>
      <c r="W114" s="7">
        <v>1</v>
      </c>
      <c r="X114" s="1" t="s">
        <v>360</v>
      </c>
      <c r="Y114" t="s">
        <v>35</v>
      </c>
    </row>
    <row r="115" spans="1:25" x14ac:dyDescent="0.3">
      <c r="A115" t="s">
        <v>24</v>
      </c>
      <c r="B115" t="s">
        <v>276</v>
      </c>
      <c r="C115" t="s">
        <v>277</v>
      </c>
      <c r="E115" t="s">
        <v>27</v>
      </c>
      <c r="G115" t="s">
        <v>357</v>
      </c>
      <c r="H115" s="1" t="s">
        <v>361</v>
      </c>
      <c r="I115" t="s">
        <v>362</v>
      </c>
      <c r="J115" s="2"/>
      <c r="K115" s="3"/>
      <c r="L115">
        <v>604611</v>
      </c>
      <c r="M115">
        <v>604611</v>
      </c>
      <c r="N115" s="4"/>
      <c r="O115" t="s">
        <v>32</v>
      </c>
      <c r="P115" s="5">
        <v>35704</v>
      </c>
      <c r="Q115" s="4">
        <v>0</v>
      </c>
      <c r="R115" t="s">
        <v>33</v>
      </c>
      <c r="S115" s="4">
        <v>7577</v>
      </c>
      <c r="T115" s="6">
        <v>2705292.08</v>
      </c>
      <c r="U115" s="2">
        <v>2.1722999999999999E-2</v>
      </c>
      <c r="V115" s="2">
        <v>2.1722999999999999E-2</v>
      </c>
      <c r="W115" s="7">
        <v>1</v>
      </c>
      <c r="X115" s="1" t="s">
        <v>363</v>
      </c>
      <c r="Y115" t="s">
        <v>35</v>
      </c>
    </row>
    <row r="116" spans="1:25" x14ac:dyDescent="0.3">
      <c r="A116" t="s">
        <v>24</v>
      </c>
      <c r="B116" t="s">
        <v>276</v>
      </c>
      <c r="C116" t="s">
        <v>277</v>
      </c>
      <c r="E116" t="s">
        <v>27</v>
      </c>
      <c r="G116" t="s">
        <v>357</v>
      </c>
      <c r="H116" s="1" t="s">
        <v>364</v>
      </c>
      <c r="I116" t="s">
        <v>365</v>
      </c>
      <c r="J116" s="2"/>
      <c r="K116" s="3"/>
      <c r="L116">
        <v>763011</v>
      </c>
      <c r="M116">
        <v>763011</v>
      </c>
      <c r="N116" s="4"/>
      <c r="O116" t="s">
        <v>32</v>
      </c>
      <c r="P116" s="5">
        <v>15866</v>
      </c>
      <c r="Q116" s="4">
        <v>0</v>
      </c>
      <c r="R116" t="s">
        <v>33</v>
      </c>
      <c r="S116" s="4">
        <v>32720</v>
      </c>
      <c r="T116" s="6">
        <v>5191355.2</v>
      </c>
      <c r="U116" s="2">
        <v>4.1687000000000002E-2</v>
      </c>
      <c r="V116" s="2">
        <v>4.1687000000000002E-2</v>
      </c>
      <c r="W116" s="7">
        <v>1</v>
      </c>
      <c r="X116" s="1" t="s">
        <v>366</v>
      </c>
      <c r="Y116" t="s">
        <v>35</v>
      </c>
    </row>
    <row r="117" spans="1:25" x14ac:dyDescent="0.3">
      <c r="A117" t="s">
        <v>24</v>
      </c>
      <c r="B117" t="s">
        <v>276</v>
      </c>
      <c r="C117" t="s">
        <v>277</v>
      </c>
      <c r="E117" t="s">
        <v>27</v>
      </c>
      <c r="G117" t="s">
        <v>367</v>
      </c>
      <c r="H117" s="1" t="s">
        <v>368</v>
      </c>
      <c r="I117" t="s">
        <v>369</v>
      </c>
      <c r="J117" s="2"/>
      <c r="K117" s="3"/>
      <c r="L117">
        <v>810010</v>
      </c>
      <c r="M117">
        <v>810010</v>
      </c>
      <c r="N117" s="4"/>
      <c r="O117" t="s">
        <v>32</v>
      </c>
      <c r="P117" s="5">
        <v>2470</v>
      </c>
      <c r="Q117" s="4">
        <v>0</v>
      </c>
      <c r="R117" t="s">
        <v>33</v>
      </c>
      <c r="S117" s="4">
        <v>19190</v>
      </c>
      <c r="T117" s="6">
        <v>473993</v>
      </c>
      <c r="U117" s="2">
        <v>3.8059999999999999E-3</v>
      </c>
      <c r="V117" s="2">
        <v>3.8059999999999999E-3</v>
      </c>
      <c r="W117" s="7">
        <v>1</v>
      </c>
      <c r="X117" s="1" t="s">
        <v>370</v>
      </c>
      <c r="Y117" t="s">
        <v>35</v>
      </c>
    </row>
    <row r="118" spans="1:25" x14ac:dyDescent="0.3">
      <c r="A118" t="s">
        <v>24</v>
      </c>
      <c r="B118" t="s">
        <v>276</v>
      </c>
      <c r="C118" t="s">
        <v>277</v>
      </c>
      <c r="E118" t="s">
        <v>27</v>
      </c>
      <c r="G118" t="s">
        <v>367</v>
      </c>
      <c r="H118" s="1" t="s">
        <v>371</v>
      </c>
      <c r="I118" t="s">
        <v>372</v>
      </c>
      <c r="J118" s="2"/>
      <c r="K118" s="3"/>
      <c r="L118">
        <v>232017</v>
      </c>
      <c r="M118">
        <v>232017</v>
      </c>
      <c r="N118" s="4"/>
      <c r="O118" t="s">
        <v>32</v>
      </c>
      <c r="P118" s="5">
        <v>270500</v>
      </c>
      <c r="Q118" s="4">
        <v>0</v>
      </c>
      <c r="R118" t="s">
        <v>33</v>
      </c>
      <c r="S118" s="4">
        <v>212.5</v>
      </c>
      <c r="T118" s="6">
        <v>574812.5</v>
      </c>
      <c r="U118" s="2">
        <v>4.6150000000000002E-3</v>
      </c>
      <c r="V118" s="2">
        <v>4.6150000000000002E-3</v>
      </c>
      <c r="W118" s="7">
        <v>1</v>
      </c>
      <c r="X118" s="1" t="s">
        <v>373</v>
      </c>
      <c r="Y118" t="s">
        <v>35</v>
      </c>
    </row>
    <row r="119" spans="1:25" x14ac:dyDescent="0.3">
      <c r="A119" t="s">
        <v>24</v>
      </c>
      <c r="B119" t="s">
        <v>276</v>
      </c>
      <c r="C119" t="s">
        <v>277</v>
      </c>
      <c r="E119" t="s">
        <v>27</v>
      </c>
      <c r="G119" t="s">
        <v>367</v>
      </c>
      <c r="H119" s="1" t="s">
        <v>374</v>
      </c>
      <c r="I119" t="s">
        <v>375</v>
      </c>
      <c r="J119" s="2"/>
      <c r="K119" s="3"/>
      <c r="L119">
        <v>475020</v>
      </c>
      <c r="M119">
        <v>475020</v>
      </c>
      <c r="N119" s="4"/>
      <c r="O119" t="s">
        <v>32</v>
      </c>
      <c r="P119" s="5">
        <v>12968</v>
      </c>
      <c r="Q119" s="4">
        <v>0</v>
      </c>
      <c r="R119" t="s">
        <v>33</v>
      </c>
      <c r="S119" s="4">
        <v>1954</v>
      </c>
      <c r="T119" s="6">
        <v>253394.72</v>
      </c>
      <c r="U119" s="2">
        <v>2.0339999999999998E-3</v>
      </c>
      <c r="V119" s="2">
        <v>2.0339999999999998E-3</v>
      </c>
      <c r="W119" s="7">
        <v>1</v>
      </c>
      <c r="X119" s="1" t="s">
        <v>376</v>
      </c>
      <c r="Y119" t="s">
        <v>35</v>
      </c>
    </row>
    <row r="120" spans="1:25" x14ac:dyDescent="0.3">
      <c r="A120" t="s">
        <v>24</v>
      </c>
      <c r="B120" t="s">
        <v>276</v>
      </c>
      <c r="C120" t="s">
        <v>277</v>
      </c>
      <c r="E120" t="s">
        <v>27</v>
      </c>
      <c r="G120" t="s">
        <v>367</v>
      </c>
      <c r="H120" s="1" t="s">
        <v>377</v>
      </c>
      <c r="I120" t="s">
        <v>378</v>
      </c>
      <c r="J120" s="2"/>
      <c r="K120" s="3"/>
      <c r="L120">
        <v>394015</v>
      </c>
      <c r="M120">
        <v>394015</v>
      </c>
      <c r="N120" s="4"/>
      <c r="O120" t="s">
        <v>32</v>
      </c>
      <c r="P120" s="5">
        <v>253588</v>
      </c>
      <c r="Q120" s="4">
        <v>0</v>
      </c>
      <c r="R120" t="s">
        <v>33</v>
      </c>
      <c r="S120" s="4">
        <v>440</v>
      </c>
      <c r="T120" s="6">
        <v>1115787.2</v>
      </c>
      <c r="U120" s="2">
        <v>8.9589999999999999E-3</v>
      </c>
      <c r="V120" s="2">
        <v>8.9589999999999999E-3</v>
      </c>
      <c r="W120" s="7">
        <v>1</v>
      </c>
      <c r="X120" s="1" t="s">
        <v>379</v>
      </c>
      <c r="Y120" t="s">
        <v>35</v>
      </c>
    </row>
    <row r="121" spans="1:25" x14ac:dyDescent="0.3">
      <c r="A121" t="s">
        <v>24</v>
      </c>
      <c r="B121" t="s">
        <v>276</v>
      </c>
      <c r="C121" t="s">
        <v>277</v>
      </c>
      <c r="E121" t="s">
        <v>27</v>
      </c>
      <c r="G121" t="s">
        <v>367</v>
      </c>
      <c r="H121" s="1" t="s">
        <v>380</v>
      </c>
      <c r="I121" t="s">
        <v>274</v>
      </c>
      <c r="J121" s="2"/>
      <c r="K121" s="3"/>
      <c r="L121">
        <v>1141357</v>
      </c>
      <c r="M121">
        <v>1141357</v>
      </c>
      <c r="N121" s="4"/>
      <c r="O121" t="s">
        <v>32</v>
      </c>
      <c r="P121" s="5">
        <v>15611</v>
      </c>
      <c r="Q121" s="4">
        <v>0</v>
      </c>
      <c r="R121" t="s">
        <v>33</v>
      </c>
      <c r="S121" s="4">
        <v>3271</v>
      </c>
      <c r="T121" s="6">
        <v>510635.81</v>
      </c>
      <c r="U121" s="2">
        <v>4.1000000000000003E-3</v>
      </c>
      <c r="V121" s="2">
        <v>4.1000000000000003E-3</v>
      </c>
      <c r="W121" s="7">
        <v>1</v>
      </c>
      <c r="X121" s="1" t="s">
        <v>381</v>
      </c>
      <c r="Y121" t="s">
        <v>35</v>
      </c>
    </row>
    <row r="122" spans="1:25" x14ac:dyDescent="0.3">
      <c r="A122" t="s">
        <v>24</v>
      </c>
      <c r="B122" t="s">
        <v>276</v>
      </c>
      <c r="C122" t="s">
        <v>277</v>
      </c>
      <c r="E122" t="s">
        <v>27</v>
      </c>
      <c r="G122" t="s">
        <v>382</v>
      </c>
      <c r="H122" s="1" t="s">
        <v>383</v>
      </c>
      <c r="I122" t="s">
        <v>384</v>
      </c>
      <c r="J122" s="2"/>
      <c r="K122" s="3"/>
      <c r="L122">
        <v>1080456</v>
      </c>
      <c r="M122">
        <v>1080456</v>
      </c>
      <c r="N122" s="4"/>
      <c r="O122" t="s">
        <v>32</v>
      </c>
      <c r="P122" s="5">
        <v>6920</v>
      </c>
      <c r="Q122" s="4">
        <v>0</v>
      </c>
      <c r="R122" t="s">
        <v>33</v>
      </c>
      <c r="S122" s="4">
        <v>4498</v>
      </c>
      <c r="T122" s="6">
        <v>311261.59999999998</v>
      </c>
      <c r="U122" s="2">
        <v>2.4989999999999999E-3</v>
      </c>
      <c r="V122" s="2">
        <v>2.4989999999999999E-3</v>
      </c>
      <c r="W122" s="7">
        <v>1</v>
      </c>
      <c r="X122" s="1" t="s">
        <v>385</v>
      </c>
      <c r="Y122" t="s">
        <v>35</v>
      </c>
    </row>
    <row r="123" spans="1:25" x14ac:dyDescent="0.3">
      <c r="A123" t="s">
        <v>24</v>
      </c>
      <c r="B123" t="s">
        <v>276</v>
      </c>
      <c r="C123" t="s">
        <v>277</v>
      </c>
      <c r="E123" t="s">
        <v>27</v>
      </c>
      <c r="G123" t="s">
        <v>382</v>
      </c>
      <c r="H123" s="1" t="s">
        <v>386</v>
      </c>
      <c r="I123" t="s">
        <v>387</v>
      </c>
      <c r="J123" s="2"/>
      <c r="K123" s="3"/>
      <c r="L123">
        <v>644013</v>
      </c>
      <c r="M123">
        <v>644013</v>
      </c>
      <c r="N123" s="4"/>
      <c r="O123" t="s">
        <v>32</v>
      </c>
      <c r="P123" s="5">
        <v>19206</v>
      </c>
      <c r="Q123" s="4">
        <v>0</v>
      </c>
      <c r="R123" t="s">
        <v>33</v>
      </c>
      <c r="S123" s="4">
        <v>5394</v>
      </c>
      <c r="T123" s="6">
        <v>1035971.64</v>
      </c>
      <c r="U123" s="2">
        <v>8.319E-3</v>
      </c>
      <c r="V123" s="2">
        <v>8.319E-3</v>
      </c>
      <c r="W123" s="7">
        <v>1</v>
      </c>
      <c r="X123" s="1" t="s">
        <v>388</v>
      </c>
      <c r="Y123" t="s">
        <v>35</v>
      </c>
    </row>
    <row r="124" spans="1:25" x14ac:dyDescent="0.3">
      <c r="A124" t="s">
        <v>24</v>
      </c>
      <c r="B124" t="s">
        <v>276</v>
      </c>
      <c r="C124" t="s">
        <v>277</v>
      </c>
      <c r="E124" t="s">
        <v>27</v>
      </c>
      <c r="G124" t="s">
        <v>382</v>
      </c>
      <c r="H124" s="1" t="s">
        <v>389</v>
      </c>
      <c r="I124" t="s">
        <v>390</v>
      </c>
      <c r="J124" s="2"/>
      <c r="K124" s="3"/>
      <c r="L124">
        <v>1081603</v>
      </c>
      <c r="M124">
        <v>1081603</v>
      </c>
      <c r="N124" s="4"/>
      <c r="O124" t="s">
        <v>32</v>
      </c>
      <c r="P124" s="5">
        <v>3104</v>
      </c>
      <c r="Q124" s="4">
        <v>0</v>
      </c>
      <c r="R124" t="s">
        <v>33</v>
      </c>
      <c r="S124" s="4">
        <v>16420</v>
      </c>
      <c r="T124" s="6">
        <v>509676.79999999999</v>
      </c>
      <c r="U124" s="2">
        <v>4.0920000000000002E-3</v>
      </c>
      <c r="V124" s="2">
        <v>4.0920000000000002E-3</v>
      </c>
      <c r="W124" s="7">
        <v>1</v>
      </c>
      <c r="X124" s="1" t="s">
        <v>391</v>
      </c>
      <c r="Y124" t="s">
        <v>35</v>
      </c>
    </row>
    <row r="125" spans="1:25" x14ac:dyDescent="0.3">
      <c r="A125" t="s">
        <v>24</v>
      </c>
      <c r="B125" t="s">
        <v>276</v>
      </c>
      <c r="C125" t="s">
        <v>277</v>
      </c>
      <c r="E125" t="s">
        <v>27</v>
      </c>
      <c r="G125" t="s">
        <v>382</v>
      </c>
      <c r="H125" s="1" t="s">
        <v>392</v>
      </c>
      <c r="I125" t="s">
        <v>393</v>
      </c>
      <c r="J125" s="2"/>
      <c r="K125" s="3"/>
      <c r="L125">
        <v>522011</v>
      </c>
      <c r="M125">
        <v>522011</v>
      </c>
      <c r="N125" s="4"/>
      <c r="O125" t="s">
        <v>32</v>
      </c>
      <c r="P125" s="5">
        <v>20667</v>
      </c>
      <c r="Q125" s="4">
        <v>0</v>
      </c>
      <c r="R125" t="s">
        <v>33</v>
      </c>
      <c r="S125" s="4">
        <v>2694</v>
      </c>
      <c r="T125" s="6">
        <v>556768.98</v>
      </c>
      <c r="U125" s="2">
        <v>4.47E-3</v>
      </c>
      <c r="V125" s="2">
        <v>4.47E-3</v>
      </c>
      <c r="W125" s="7">
        <v>1</v>
      </c>
      <c r="X125" s="1" t="s">
        <v>394</v>
      </c>
      <c r="Y125" t="s">
        <v>35</v>
      </c>
    </row>
    <row r="126" spans="1:25" x14ac:dyDescent="0.3">
      <c r="A126" t="s">
        <v>24</v>
      </c>
      <c r="B126" t="s">
        <v>276</v>
      </c>
      <c r="C126" t="s">
        <v>277</v>
      </c>
      <c r="E126" t="s">
        <v>27</v>
      </c>
      <c r="G126" t="s">
        <v>395</v>
      </c>
      <c r="H126" s="1" t="s">
        <v>396</v>
      </c>
      <c r="I126" t="s">
        <v>397</v>
      </c>
      <c r="J126" s="2"/>
      <c r="K126" s="3"/>
      <c r="L126">
        <v>1083955</v>
      </c>
      <c r="M126">
        <v>1083955</v>
      </c>
      <c r="N126" s="4"/>
      <c r="O126" t="s">
        <v>32</v>
      </c>
      <c r="P126" s="5">
        <v>14</v>
      </c>
      <c r="Q126" s="4">
        <v>0</v>
      </c>
      <c r="R126" t="s">
        <v>33</v>
      </c>
      <c r="S126" s="4">
        <v>68180</v>
      </c>
      <c r="T126" s="6">
        <v>9545.2000000000007</v>
      </c>
      <c r="U126" s="2">
        <v>7.6000000000000004E-5</v>
      </c>
      <c r="V126" s="2">
        <v>7.6000000000000004E-5</v>
      </c>
      <c r="W126" s="7">
        <v>1</v>
      </c>
      <c r="X126" s="1" t="s">
        <v>398</v>
      </c>
      <c r="Y126" t="s">
        <v>35</v>
      </c>
    </row>
    <row r="127" spans="1:25" x14ac:dyDescent="0.3">
      <c r="A127" t="s">
        <v>24</v>
      </c>
      <c r="B127" t="s">
        <v>276</v>
      </c>
      <c r="C127" t="s">
        <v>277</v>
      </c>
      <c r="E127" t="s">
        <v>27</v>
      </c>
      <c r="G127" t="s">
        <v>36</v>
      </c>
      <c r="H127" s="1" t="s">
        <v>399</v>
      </c>
      <c r="I127" t="s">
        <v>400</v>
      </c>
      <c r="J127" s="2"/>
      <c r="K127" s="3"/>
      <c r="L127">
        <v>413013</v>
      </c>
      <c r="M127">
        <v>413013</v>
      </c>
      <c r="N127" s="4"/>
      <c r="O127" t="s">
        <v>32</v>
      </c>
      <c r="P127" s="5">
        <v>13777</v>
      </c>
      <c r="Q127" s="4">
        <v>0</v>
      </c>
      <c r="R127" t="s">
        <v>33</v>
      </c>
      <c r="S127" s="4">
        <v>1918</v>
      </c>
      <c r="T127" s="6">
        <v>264242.86</v>
      </c>
      <c r="U127" s="2">
        <v>2.1210000000000001E-3</v>
      </c>
      <c r="V127" s="2">
        <v>2.1210000000000001E-3</v>
      </c>
      <c r="W127" s="7">
        <v>1</v>
      </c>
      <c r="X127" s="1" t="s">
        <v>401</v>
      </c>
      <c r="Y127" t="s">
        <v>35</v>
      </c>
    </row>
    <row r="128" spans="1:25" x14ac:dyDescent="0.3">
      <c r="A128" t="s">
        <v>24</v>
      </c>
      <c r="B128" t="s">
        <v>276</v>
      </c>
      <c r="C128" t="s">
        <v>277</v>
      </c>
      <c r="E128" t="s">
        <v>27</v>
      </c>
      <c r="G128" t="s">
        <v>402</v>
      </c>
      <c r="H128" s="1" t="s">
        <v>403</v>
      </c>
      <c r="I128" t="s">
        <v>404</v>
      </c>
      <c r="J128" s="2"/>
      <c r="K128" s="3"/>
      <c r="L128">
        <v>829010</v>
      </c>
      <c r="M128">
        <v>829010</v>
      </c>
      <c r="N128" s="4"/>
      <c r="O128" t="s">
        <v>32</v>
      </c>
      <c r="P128" s="5">
        <v>18163</v>
      </c>
      <c r="Q128" s="4">
        <v>0</v>
      </c>
      <c r="R128" t="s">
        <v>33</v>
      </c>
      <c r="S128" s="4">
        <v>1962</v>
      </c>
      <c r="T128" s="6">
        <v>356358.06</v>
      </c>
      <c r="U128" s="2">
        <v>2.8609999999999998E-3</v>
      </c>
      <c r="V128" s="2">
        <v>2.8609999999999998E-3</v>
      </c>
      <c r="W128" s="7">
        <v>1</v>
      </c>
      <c r="X128" s="1" t="s">
        <v>405</v>
      </c>
      <c r="Y128" t="s">
        <v>35</v>
      </c>
    </row>
    <row r="129" spans="1:25" x14ac:dyDescent="0.3">
      <c r="A129" t="s">
        <v>24</v>
      </c>
      <c r="B129" t="s">
        <v>276</v>
      </c>
      <c r="C129" t="s">
        <v>277</v>
      </c>
      <c r="E129" t="s">
        <v>27</v>
      </c>
      <c r="G129" t="s">
        <v>402</v>
      </c>
      <c r="H129" s="1" t="s">
        <v>406</v>
      </c>
      <c r="I129" t="s">
        <v>407</v>
      </c>
      <c r="J129" s="2"/>
      <c r="K129" s="3"/>
      <c r="L129">
        <v>288019</v>
      </c>
      <c r="M129">
        <v>288019</v>
      </c>
      <c r="N129" s="4"/>
      <c r="O129" t="s">
        <v>32</v>
      </c>
      <c r="P129" s="5">
        <v>3363</v>
      </c>
      <c r="Q129" s="4">
        <v>0</v>
      </c>
      <c r="R129" t="s">
        <v>33</v>
      </c>
      <c r="S129" s="4">
        <v>20500</v>
      </c>
      <c r="T129" s="6">
        <v>689415</v>
      </c>
      <c r="U129" s="2">
        <v>5.5360000000000001E-3</v>
      </c>
      <c r="V129" s="2">
        <v>5.5360000000000001E-3</v>
      </c>
      <c r="W129" s="7">
        <v>1</v>
      </c>
      <c r="X129" s="1" t="s">
        <v>408</v>
      </c>
      <c r="Y129" t="s">
        <v>35</v>
      </c>
    </row>
    <row r="130" spans="1:25" x14ac:dyDescent="0.3">
      <c r="A130" t="s">
        <v>24</v>
      </c>
      <c r="B130" t="s">
        <v>276</v>
      </c>
      <c r="C130" t="s">
        <v>277</v>
      </c>
      <c r="E130" t="s">
        <v>27</v>
      </c>
      <c r="G130" t="s">
        <v>402</v>
      </c>
      <c r="H130" s="1" t="s">
        <v>409</v>
      </c>
      <c r="I130" t="s">
        <v>410</v>
      </c>
      <c r="J130" s="2"/>
      <c r="K130" s="3"/>
      <c r="L130">
        <v>1175496</v>
      </c>
      <c r="M130">
        <v>1175496</v>
      </c>
      <c r="N130" s="4"/>
      <c r="O130" t="s">
        <v>32</v>
      </c>
      <c r="P130" s="5">
        <v>62260</v>
      </c>
      <c r="Q130" s="4">
        <v>0</v>
      </c>
      <c r="R130" t="s">
        <v>33</v>
      </c>
      <c r="S130" s="4">
        <v>1439</v>
      </c>
      <c r="T130" s="6">
        <v>895921.4</v>
      </c>
      <c r="U130" s="2">
        <v>7.1939999999999999E-3</v>
      </c>
      <c r="V130" s="2">
        <v>7.1939999999999999E-3</v>
      </c>
      <c r="W130" s="7">
        <v>1</v>
      </c>
      <c r="X130" s="1" t="s">
        <v>411</v>
      </c>
      <c r="Y130" t="s">
        <v>35</v>
      </c>
    </row>
    <row r="131" spans="1:25" x14ac:dyDescent="0.3">
      <c r="A131" t="s">
        <v>24</v>
      </c>
      <c r="B131" t="s">
        <v>276</v>
      </c>
      <c r="C131" t="s">
        <v>277</v>
      </c>
      <c r="E131" t="s">
        <v>27</v>
      </c>
      <c r="G131" t="s">
        <v>412</v>
      </c>
      <c r="H131" s="1" t="s">
        <v>413</v>
      </c>
      <c r="I131" t="s">
        <v>414</v>
      </c>
      <c r="J131" s="2"/>
      <c r="K131" s="3"/>
      <c r="L131">
        <v>1132356</v>
      </c>
      <c r="M131">
        <v>1132356</v>
      </c>
      <c r="N131" s="4"/>
      <c r="O131" t="s">
        <v>32</v>
      </c>
      <c r="P131" s="5">
        <v>3527</v>
      </c>
      <c r="Q131" s="4">
        <v>0</v>
      </c>
      <c r="R131" t="s">
        <v>33</v>
      </c>
      <c r="S131" s="4">
        <v>2004</v>
      </c>
      <c r="T131" s="6">
        <v>70681.08</v>
      </c>
      <c r="U131" s="2">
        <v>5.6700000000000001E-4</v>
      </c>
      <c r="V131" s="2">
        <v>5.6700000000000001E-4</v>
      </c>
      <c r="W131" s="7">
        <v>1</v>
      </c>
      <c r="X131" s="1" t="s">
        <v>415</v>
      </c>
      <c r="Y131" t="s">
        <v>35</v>
      </c>
    </row>
    <row r="132" spans="1:25" x14ac:dyDescent="0.3">
      <c r="A132" t="s">
        <v>24</v>
      </c>
      <c r="B132" t="s">
        <v>276</v>
      </c>
      <c r="C132" t="s">
        <v>277</v>
      </c>
      <c r="E132" t="s">
        <v>27</v>
      </c>
      <c r="G132" t="s">
        <v>412</v>
      </c>
      <c r="H132" s="1" t="s">
        <v>416</v>
      </c>
      <c r="I132" t="s">
        <v>417</v>
      </c>
      <c r="J132" s="2"/>
      <c r="K132" s="3"/>
      <c r="L132">
        <v>1081561</v>
      </c>
      <c r="M132">
        <v>1081561</v>
      </c>
      <c r="N132" s="4"/>
      <c r="O132" t="s">
        <v>32</v>
      </c>
      <c r="P132" s="5">
        <v>73</v>
      </c>
      <c r="Q132" s="4">
        <v>0</v>
      </c>
      <c r="R132" t="s">
        <v>33</v>
      </c>
      <c r="S132" s="4">
        <v>80100</v>
      </c>
      <c r="T132" s="6">
        <v>58473</v>
      </c>
      <c r="U132" s="2">
        <v>4.6900000000000002E-4</v>
      </c>
      <c r="V132" s="2">
        <v>4.6900000000000002E-4</v>
      </c>
      <c r="W132" s="7">
        <v>1</v>
      </c>
      <c r="X132" s="1" t="s">
        <v>418</v>
      </c>
      <c r="Y132" t="s">
        <v>35</v>
      </c>
    </row>
    <row r="133" spans="1:25" x14ac:dyDescent="0.3">
      <c r="A133" t="s">
        <v>24</v>
      </c>
      <c r="B133" t="s">
        <v>276</v>
      </c>
      <c r="C133" t="s">
        <v>277</v>
      </c>
      <c r="E133" t="s">
        <v>27</v>
      </c>
      <c r="G133" t="s">
        <v>412</v>
      </c>
      <c r="H133" s="1" t="s">
        <v>419</v>
      </c>
      <c r="I133" t="s">
        <v>420</v>
      </c>
      <c r="J133" s="2"/>
      <c r="K133" s="3"/>
      <c r="L133">
        <v>384016</v>
      </c>
      <c r="M133">
        <v>384016</v>
      </c>
      <c r="N133" s="4"/>
      <c r="O133" t="s">
        <v>32</v>
      </c>
      <c r="P133" s="5">
        <v>67016</v>
      </c>
      <c r="Q133" s="4">
        <v>0</v>
      </c>
      <c r="R133" t="s">
        <v>33</v>
      </c>
      <c r="S133" s="4">
        <v>1807</v>
      </c>
      <c r="T133" s="6">
        <v>1210979.1200000001</v>
      </c>
      <c r="U133" s="2">
        <v>9.724E-3</v>
      </c>
      <c r="V133" s="2">
        <v>9.724E-3</v>
      </c>
      <c r="W133" s="7">
        <v>1</v>
      </c>
      <c r="X133" s="1" t="s">
        <v>421</v>
      </c>
      <c r="Y133" t="s">
        <v>35</v>
      </c>
    </row>
    <row r="134" spans="1:25" x14ac:dyDescent="0.3">
      <c r="A134" t="s">
        <v>24</v>
      </c>
      <c r="B134" t="s">
        <v>276</v>
      </c>
      <c r="C134" t="s">
        <v>277</v>
      </c>
      <c r="E134" t="s">
        <v>27</v>
      </c>
      <c r="G134" t="s">
        <v>422</v>
      </c>
      <c r="H134" s="1" t="s">
        <v>423</v>
      </c>
      <c r="I134" t="s">
        <v>424</v>
      </c>
      <c r="J134" s="2"/>
      <c r="K134" s="3"/>
      <c r="L134">
        <v>1097260</v>
      </c>
      <c r="M134">
        <v>1097260</v>
      </c>
      <c r="N134" s="4"/>
      <c r="O134" t="s">
        <v>32</v>
      </c>
      <c r="P134" s="5">
        <v>1099</v>
      </c>
      <c r="Q134" s="4">
        <v>0</v>
      </c>
      <c r="R134" t="s">
        <v>33</v>
      </c>
      <c r="S134" s="4">
        <v>75500</v>
      </c>
      <c r="T134" s="6">
        <v>829745</v>
      </c>
      <c r="U134" s="2">
        <v>6.6620000000000004E-3</v>
      </c>
      <c r="V134" s="2">
        <v>6.6620000000000004E-3</v>
      </c>
      <c r="W134" s="7">
        <v>1</v>
      </c>
      <c r="X134" s="1" t="s">
        <v>425</v>
      </c>
      <c r="Y134" t="s">
        <v>35</v>
      </c>
    </row>
    <row r="135" spans="1:25" x14ac:dyDescent="0.3">
      <c r="A135" t="s">
        <v>24</v>
      </c>
      <c r="B135" t="s">
        <v>276</v>
      </c>
      <c r="C135" t="s">
        <v>277</v>
      </c>
      <c r="E135" t="s">
        <v>27</v>
      </c>
      <c r="G135" t="s">
        <v>422</v>
      </c>
      <c r="H135" s="1" t="s">
        <v>426</v>
      </c>
      <c r="I135" t="s">
        <v>241</v>
      </c>
      <c r="J135" s="2"/>
      <c r="K135" s="3"/>
      <c r="L135">
        <v>1098565</v>
      </c>
      <c r="M135">
        <v>1098565</v>
      </c>
      <c r="N135" s="4"/>
      <c r="O135" t="s">
        <v>32</v>
      </c>
      <c r="P135" s="5">
        <v>1561</v>
      </c>
      <c r="Q135" s="4">
        <v>0</v>
      </c>
      <c r="R135" t="s">
        <v>33</v>
      </c>
      <c r="S135" s="4">
        <v>42140</v>
      </c>
      <c r="T135" s="6">
        <v>657805.4</v>
      </c>
      <c r="U135" s="2">
        <v>5.2820000000000002E-3</v>
      </c>
      <c r="V135" s="2">
        <v>5.2820000000000002E-3</v>
      </c>
      <c r="W135" s="7">
        <v>1</v>
      </c>
      <c r="X135" s="1" t="s">
        <v>427</v>
      </c>
      <c r="Y135" t="s">
        <v>35</v>
      </c>
    </row>
    <row r="136" spans="1:25" x14ac:dyDescent="0.3">
      <c r="A136" t="s">
        <v>24</v>
      </c>
      <c r="B136" t="s">
        <v>276</v>
      </c>
      <c r="C136" t="s">
        <v>277</v>
      </c>
      <c r="E136" t="s">
        <v>27</v>
      </c>
      <c r="G136" t="s">
        <v>422</v>
      </c>
      <c r="H136" s="1" t="s">
        <v>428</v>
      </c>
      <c r="I136" t="s">
        <v>429</v>
      </c>
      <c r="J136" s="2"/>
      <c r="K136" s="3"/>
      <c r="L136">
        <v>323014</v>
      </c>
      <c r="M136">
        <v>323014</v>
      </c>
      <c r="N136" s="4"/>
      <c r="O136" t="s">
        <v>32</v>
      </c>
      <c r="P136" s="5">
        <v>533</v>
      </c>
      <c r="Q136" s="4">
        <v>0</v>
      </c>
      <c r="R136" t="s">
        <v>33</v>
      </c>
      <c r="S136" s="4">
        <v>42430</v>
      </c>
      <c r="T136" s="6">
        <v>226151.9</v>
      </c>
      <c r="U136" s="2">
        <v>1.8159999999999999E-3</v>
      </c>
      <c r="V136" s="2">
        <v>1.8159999999999999E-3</v>
      </c>
      <c r="W136" s="7">
        <v>1</v>
      </c>
      <c r="X136" s="1" t="s">
        <v>430</v>
      </c>
      <c r="Y136" t="s">
        <v>35</v>
      </c>
    </row>
    <row r="137" spans="1:25" x14ac:dyDescent="0.3">
      <c r="A137" t="s">
        <v>24</v>
      </c>
      <c r="B137" t="s">
        <v>276</v>
      </c>
      <c r="C137" t="s">
        <v>277</v>
      </c>
      <c r="E137" t="s">
        <v>27</v>
      </c>
      <c r="G137" t="s">
        <v>431</v>
      </c>
      <c r="H137" s="1" t="s">
        <v>432</v>
      </c>
      <c r="I137" t="s">
        <v>433</v>
      </c>
      <c r="J137" s="2"/>
      <c r="K137" s="3"/>
      <c r="L137">
        <v>1090117</v>
      </c>
      <c r="M137">
        <v>1090117</v>
      </c>
      <c r="N137" s="4"/>
      <c r="O137" t="s">
        <v>32</v>
      </c>
      <c r="P137" s="5">
        <v>139159</v>
      </c>
      <c r="Q137" s="4">
        <v>0</v>
      </c>
      <c r="R137" t="s">
        <v>33</v>
      </c>
      <c r="S137" s="4">
        <v>312.3</v>
      </c>
      <c r="T137" s="6">
        <v>434593.55699999997</v>
      </c>
      <c r="U137" s="2">
        <v>3.4889999999999999E-3</v>
      </c>
      <c r="V137" s="2">
        <v>3.4889999999999999E-3</v>
      </c>
      <c r="W137" s="7">
        <v>1</v>
      </c>
      <c r="X137" s="1" t="s">
        <v>434</v>
      </c>
      <c r="Y137" t="s">
        <v>35</v>
      </c>
    </row>
    <row r="138" spans="1:25" x14ac:dyDescent="0.3">
      <c r="A138" t="s">
        <v>24</v>
      </c>
      <c r="B138" t="s">
        <v>276</v>
      </c>
      <c r="C138" t="s">
        <v>277</v>
      </c>
      <c r="E138" t="s">
        <v>27</v>
      </c>
      <c r="G138" t="s">
        <v>431</v>
      </c>
      <c r="H138" s="1" t="s">
        <v>435</v>
      </c>
      <c r="I138" t="s">
        <v>436</v>
      </c>
      <c r="J138" s="2"/>
      <c r="K138" s="3"/>
      <c r="L138">
        <v>625012</v>
      </c>
      <c r="M138">
        <v>625012</v>
      </c>
      <c r="N138" s="4"/>
      <c r="O138" t="s">
        <v>32</v>
      </c>
      <c r="P138" s="5">
        <v>52496</v>
      </c>
      <c r="Q138" s="4">
        <v>0</v>
      </c>
      <c r="R138" t="s">
        <v>33</v>
      </c>
      <c r="S138" s="4">
        <v>3135</v>
      </c>
      <c r="T138" s="6">
        <v>1645749.6</v>
      </c>
      <c r="U138" s="2">
        <v>1.3214999999999999E-2</v>
      </c>
      <c r="V138" s="2">
        <v>1.3214999999999999E-2</v>
      </c>
      <c r="W138" s="7">
        <v>1</v>
      </c>
      <c r="X138" s="1" t="s">
        <v>437</v>
      </c>
      <c r="Y138" t="s">
        <v>35</v>
      </c>
    </row>
    <row r="139" spans="1:25" x14ac:dyDescent="0.3">
      <c r="A139" t="s">
        <v>24</v>
      </c>
      <c r="B139" t="s">
        <v>276</v>
      </c>
      <c r="C139" t="s">
        <v>277</v>
      </c>
      <c r="E139" t="s">
        <v>27</v>
      </c>
      <c r="G139" t="s">
        <v>438</v>
      </c>
      <c r="H139" s="1" t="s">
        <v>439</v>
      </c>
      <c r="I139" t="s">
        <v>440</v>
      </c>
      <c r="J139" s="2"/>
      <c r="K139" s="3"/>
      <c r="L139">
        <v>629014</v>
      </c>
      <c r="M139">
        <v>629014</v>
      </c>
      <c r="N139" s="4"/>
      <c r="O139" t="s">
        <v>32</v>
      </c>
      <c r="P139" s="5">
        <v>14689</v>
      </c>
      <c r="Q139" s="4">
        <v>0</v>
      </c>
      <c r="R139" t="s">
        <v>33</v>
      </c>
      <c r="S139" s="4">
        <v>10610</v>
      </c>
      <c r="T139" s="6">
        <v>1558502.9</v>
      </c>
      <c r="U139" s="2">
        <v>1.2515E-2</v>
      </c>
      <c r="V139" s="2">
        <v>1.2515E-2</v>
      </c>
      <c r="W139" s="7">
        <v>1</v>
      </c>
      <c r="X139" s="1" t="s">
        <v>441</v>
      </c>
      <c r="Y139" t="s">
        <v>35</v>
      </c>
    </row>
    <row r="140" spans="1:25" x14ac:dyDescent="0.3">
      <c r="A140" t="s">
        <v>24</v>
      </c>
      <c r="B140" t="s">
        <v>276</v>
      </c>
      <c r="C140" t="s">
        <v>277</v>
      </c>
      <c r="E140" t="s">
        <v>27</v>
      </c>
      <c r="G140" t="s">
        <v>442</v>
      </c>
      <c r="H140" s="1" t="s">
        <v>443</v>
      </c>
      <c r="I140" t="s">
        <v>444</v>
      </c>
      <c r="J140" s="2"/>
      <c r="K140" s="3"/>
      <c r="L140">
        <v>1082965</v>
      </c>
      <c r="M140">
        <v>1082965</v>
      </c>
      <c r="N140" s="4"/>
      <c r="O140" t="s">
        <v>32</v>
      </c>
      <c r="P140" s="5">
        <v>3506</v>
      </c>
      <c r="Q140" s="4">
        <v>0</v>
      </c>
      <c r="R140" t="s">
        <v>33</v>
      </c>
      <c r="S140" s="4">
        <v>2215</v>
      </c>
      <c r="T140" s="6">
        <v>77657.899999999994</v>
      </c>
      <c r="U140" s="2">
        <v>6.2299999999999996E-4</v>
      </c>
      <c r="V140" s="2">
        <v>6.2299999999999996E-4</v>
      </c>
      <c r="W140" s="7">
        <v>1</v>
      </c>
      <c r="X140" s="1" t="s">
        <v>445</v>
      </c>
      <c r="Y140" t="s">
        <v>35</v>
      </c>
    </row>
    <row r="141" spans="1:25" x14ac:dyDescent="0.3">
      <c r="A141" t="s">
        <v>24</v>
      </c>
      <c r="B141" t="s">
        <v>276</v>
      </c>
      <c r="C141" t="s">
        <v>277</v>
      </c>
      <c r="E141" t="s">
        <v>27</v>
      </c>
      <c r="G141" t="s">
        <v>446</v>
      </c>
      <c r="H141" s="1" t="s">
        <v>447</v>
      </c>
      <c r="I141" t="s">
        <v>448</v>
      </c>
      <c r="J141" s="2"/>
      <c r="K141" s="3"/>
      <c r="L141">
        <v>249011</v>
      </c>
      <c r="M141">
        <v>249011</v>
      </c>
      <c r="N141" s="4"/>
      <c r="O141" t="s">
        <v>32</v>
      </c>
      <c r="P141" s="5">
        <v>962432</v>
      </c>
      <c r="Q141" s="4">
        <v>0</v>
      </c>
      <c r="R141" t="s">
        <v>33</v>
      </c>
      <c r="S141" s="4">
        <v>315.7</v>
      </c>
      <c r="T141" s="6">
        <v>3038397.824</v>
      </c>
      <c r="U141" s="2">
        <v>2.4398E-2</v>
      </c>
      <c r="V141" s="2">
        <v>2.4398E-2</v>
      </c>
      <c r="W141" s="7">
        <v>1</v>
      </c>
      <c r="X141" s="1" t="s">
        <v>449</v>
      </c>
      <c r="Y141" t="s">
        <v>35</v>
      </c>
    </row>
    <row r="142" spans="1:25" x14ac:dyDescent="0.3">
      <c r="A142" t="s">
        <v>24</v>
      </c>
      <c r="B142" t="s">
        <v>276</v>
      </c>
      <c r="C142" t="s">
        <v>277</v>
      </c>
      <c r="E142" t="s">
        <v>27</v>
      </c>
      <c r="G142" t="s">
        <v>450</v>
      </c>
      <c r="H142" s="1" t="s">
        <v>451</v>
      </c>
      <c r="I142" t="s">
        <v>452</v>
      </c>
      <c r="J142" s="2"/>
      <c r="K142" s="3"/>
      <c r="L142">
        <v>1171669</v>
      </c>
      <c r="M142">
        <v>1171669</v>
      </c>
      <c r="N142" s="4"/>
      <c r="O142" t="s">
        <v>32</v>
      </c>
      <c r="P142" s="5">
        <v>171363</v>
      </c>
      <c r="Q142" s="4">
        <v>0</v>
      </c>
      <c r="R142" t="s">
        <v>33</v>
      </c>
      <c r="S142" s="4">
        <v>775.7</v>
      </c>
      <c r="T142" s="6">
        <v>1329262.791</v>
      </c>
      <c r="U142" s="2">
        <v>1.0673999999999999E-2</v>
      </c>
      <c r="V142" s="2">
        <v>1.0673999999999999E-2</v>
      </c>
      <c r="W142" s="7">
        <v>1</v>
      </c>
      <c r="X142" s="1" t="s">
        <v>453</v>
      </c>
      <c r="Y142" t="s">
        <v>35</v>
      </c>
    </row>
    <row r="143" spans="1:25" x14ac:dyDescent="0.3">
      <c r="A143" t="s">
        <v>24</v>
      </c>
      <c r="B143" t="s">
        <v>276</v>
      </c>
      <c r="C143" t="s">
        <v>277</v>
      </c>
      <c r="E143" t="s">
        <v>27</v>
      </c>
      <c r="G143" t="s">
        <v>450</v>
      </c>
      <c r="H143" s="1" t="s">
        <v>454</v>
      </c>
      <c r="I143" t="s">
        <v>455</v>
      </c>
      <c r="J143" s="2"/>
      <c r="K143" s="3"/>
      <c r="L143">
        <v>1096148</v>
      </c>
      <c r="M143">
        <v>1096148</v>
      </c>
      <c r="N143" s="4"/>
      <c r="O143" t="s">
        <v>32</v>
      </c>
      <c r="P143" s="5">
        <v>282665</v>
      </c>
      <c r="Q143" s="4">
        <v>0</v>
      </c>
      <c r="R143" t="s">
        <v>33</v>
      </c>
      <c r="S143" s="4">
        <v>640.4</v>
      </c>
      <c r="T143" s="6">
        <v>1810186.66</v>
      </c>
      <c r="U143" s="2">
        <v>1.4536E-2</v>
      </c>
      <c r="V143" s="2">
        <v>1.4536E-2</v>
      </c>
      <c r="W143" s="7">
        <v>1</v>
      </c>
      <c r="X143" s="1" t="s">
        <v>456</v>
      </c>
      <c r="Y143" t="s">
        <v>35</v>
      </c>
    </row>
    <row r="144" spans="1:25" x14ac:dyDescent="0.3">
      <c r="A144" t="s">
        <v>24</v>
      </c>
      <c r="B144" t="s">
        <v>276</v>
      </c>
      <c r="C144" t="s">
        <v>277</v>
      </c>
      <c r="E144" t="s">
        <v>27</v>
      </c>
      <c r="G144" t="s">
        <v>450</v>
      </c>
      <c r="H144" s="1" t="s">
        <v>457</v>
      </c>
      <c r="I144" t="s">
        <v>458</v>
      </c>
      <c r="J144" s="2"/>
      <c r="K144" s="3"/>
      <c r="L144">
        <v>280016</v>
      </c>
      <c r="M144">
        <v>280016</v>
      </c>
      <c r="N144" s="4"/>
      <c r="O144" t="s">
        <v>32</v>
      </c>
      <c r="P144" s="5">
        <v>1924</v>
      </c>
      <c r="Q144" s="4">
        <v>0</v>
      </c>
      <c r="R144" t="s">
        <v>33</v>
      </c>
      <c r="S144" s="4">
        <v>11090</v>
      </c>
      <c r="T144" s="6">
        <v>213371.6</v>
      </c>
      <c r="U144" s="2">
        <v>1.7129999999999999E-3</v>
      </c>
      <c r="V144" s="2">
        <v>1.7129999999999999E-3</v>
      </c>
      <c r="W144" s="7">
        <v>1</v>
      </c>
      <c r="X144" s="1" t="s">
        <v>459</v>
      </c>
      <c r="Y144" t="s">
        <v>35</v>
      </c>
    </row>
    <row r="145" spans="1:25" x14ac:dyDescent="0.3">
      <c r="A145" t="s">
        <v>24</v>
      </c>
      <c r="B145" t="s">
        <v>276</v>
      </c>
      <c r="C145" t="s">
        <v>277</v>
      </c>
      <c r="E145" t="s">
        <v>27</v>
      </c>
      <c r="G145" t="s">
        <v>450</v>
      </c>
      <c r="H145" s="1" t="s">
        <v>460</v>
      </c>
      <c r="I145" t="s">
        <v>461</v>
      </c>
      <c r="J145" s="2"/>
      <c r="K145" s="3"/>
      <c r="L145">
        <v>1178714</v>
      </c>
      <c r="M145">
        <v>1178714</v>
      </c>
      <c r="N145" s="4"/>
      <c r="O145" t="s">
        <v>32</v>
      </c>
      <c r="P145" s="5">
        <v>20111</v>
      </c>
      <c r="Q145" s="4">
        <v>0</v>
      </c>
      <c r="R145" t="s">
        <v>33</v>
      </c>
      <c r="S145" s="4">
        <v>730.9</v>
      </c>
      <c r="T145" s="6">
        <v>146991.299</v>
      </c>
      <c r="U145" s="2">
        <v>1.1800000000000001E-3</v>
      </c>
      <c r="V145" s="2">
        <v>1.1800000000000001E-3</v>
      </c>
      <c r="W145" s="7">
        <v>1</v>
      </c>
      <c r="X145" s="1" t="s">
        <v>462</v>
      </c>
      <c r="Y145" t="s">
        <v>35</v>
      </c>
    </row>
    <row r="146" spans="1:25" x14ac:dyDescent="0.3">
      <c r="A146" t="s">
        <v>24</v>
      </c>
      <c r="B146" t="s">
        <v>276</v>
      </c>
      <c r="C146" t="s">
        <v>277</v>
      </c>
      <c r="E146" t="s">
        <v>27</v>
      </c>
      <c r="G146" t="s">
        <v>450</v>
      </c>
      <c r="H146" s="1" t="s">
        <v>463</v>
      </c>
      <c r="I146" t="s">
        <v>464</v>
      </c>
      <c r="J146" s="2"/>
      <c r="K146" s="3"/>
      <c r="L146">
        <v>103010</v>
      </c>
      <c r="M146">
        <v>103010</v>
      </c>
      <c r="N146" s="4"/>
      <c r="O146" t="s">
        <v>32</v>
      </c>
      <c r="P146" s="5">
        <v>127642</v>
      </c>
      <c r="Q146" s="4">
        <v>0</v>
      </c>
      <c r="R146" t="s">
        <v>33</v>
      </c>
      <c r="S146" s="4">
        <v>1112</v>
      </c>
      <c r="T146" s="6">
        <v>1419379.04</v>
      </c>
      <c r="U146" s="2">
        <v>1.1396999999999999E-2</v>
      </c>
      <c r="V146" s="2">
        <v>1.1396999999999999E-2</v>
      </c>
      <c r="W146" s="7">
        <v>1</v>
      </c>
      <c r="X146" s="1" t="s">
        <v>465</v>
      </c>
      <c r="Y146" t="s">
        <v>35</v>
      </c>
    </row>
    <row r="147" spans="1:25" x14ac:dyDescent="0.3">
      <c r="A147" t="s">
        <v>24</v>
      </c>
      <c r="B147" t="s">
        <v>276</v>
      </c>
      <c r="C147" t="s">
        <v>277</v>
      </c>
      <c r="E147" t="s">
        <v>27</v>
      </c>
      <c r="G147" t="s">
        <v>450</v>
      </c>
      <c r="H147" s="1" t="s">
        <v>466</v>
      </c>
      <c r="I147" t="s">
        <v>467</v>
      </c>
      <c r="J147" s="2"/>
      <c r="K147" s="3"/>
      <c r="L147">
        <v>1123777</v>
      </c>
      <c r="M147">
        <v>1123777</v>
      </c>
      <c r="N147" s="4"/>
      <c r="O147" t="s">
        <v>32</v>
      </c>
      <c r="P147" s="5">
        <v>40040</v>
      </c>
      <c r="Q147" s="4">
        <v>0</v>
      </c>
      <c r="R147" t="s">
        <v>33</v>
      </c>
      <c r="S147" s="4">
        <v>5418</v>
      </c>
      <c r="T147" s="6">
        <v>2169367.2000000002</v>
      </c>
      <c r="U147" s="2">
        <v>1.7420000000000001E-2</v>
      </c>
      <c r="V147" s="2">
        <v>1.7420000000000001E-2</v>
      </c>
      <c r="W147" s="7">
        <v>1</v>
      </c>
      <c r="X147" s="1" t="s">
        <v>468</v>
      </c>
      <c r="Y147" t="s">
        <v>35</v>
      </c>
    </row>
    <row r="148" spans="1:25" x14ac:dyDescent="0.3">
      <c r="A148" t="s">
        <v>24</v>
      </c>
      <c r="B148" t="s">
        <v>276</v>
      </c>
      <c r="C148" t="s">
        <v>277</v>
      </c>
      <c r="E148" t="s">
        <v>27</v>
      </c>
      <c r="G148" t="s">
        <v>450</v>
      </c>
      <c r="H148" s="1" t="s">
        <v>469</v>
      </c>
      <c r="I148" t="s">
        <v>210</v>
      </c>
      <c r="J148" s="2"/>
      <c r="K148" s="3"/>
      <c r="L148">
        <v>1161264</v>
      </c>
      <c r="M148">
        <v>1161264</v>
      </c>
      <c r="N148" s="4"/>
      <c r="O148" t="s">
        <v>32</v>
      </c>
      <c r="P148" s="5">
        <v>1767</v>
      </c>
      <c r="Q148" s="4">
        <v>0</v>
      </c>
      <c r="R148" t="s">
        <v>33</v>
      </c>
      <c r="S148" s="4">
        <v>36110</v>
      </c>
      <c r="T148" s="6">
        <v>638063.69999999995</v>
      </c>
      <c r="U148" s="2">
        <v>5.1229999999999999E-3</v>
      </c>
      <c r="V148" s="2">
        <v>5.1229999999999999E-3</v>
      </c>
      <c r="W148" s="7">
        <v>1</v>
      </c>
      <c r="X148" s="1" t="s">
        <v>470</v>
      </c>
      <c r="Y148" t="s">
        <v>35</v>
      </c>
    </row>
    <row r="149" spans="1:25" x14ac:dyDescent="0.3">
      <c r="A149" t="s">
        <v>24</v>
      </c>
      <c r="B149" t="s">
        <v>276</v>
      </c>
      <c r="C149" t="s">
        <v>277</v>
      </c>
      <c r="E149" t="s">
        <v>27</v>
      </c>
      <c r="G149" t="s">
        <v>471</v>
      </c>
      <c r="H149" s="1" t="s">
        <v>472</v>
      </c>
      <c r="I149" t="s">
        <v>473</v>
      </c>
      <c r="J149" s="2"/>
      <c r="K149" s="3"/>
      <c r="L149">
        <v>1084698</v>
      </c>
      <c r="M149">
        <v>1084698</v>
      </c>
      <c r="N149" s="4"/>
      <c r="O149" t="s">
        <v>32</v>
      </c>
      <c r="P149" s="5">
        <v>683</v>
      </c>
      <c r="Q149" s="4">
        <v>0</v>
      </c>
      <c r="R149" t="s">
        <v>33</v>
      </c>
      <c r="S149" s="4">
        <v>20050</v>
      </c>
      <c r="T149" s="6">
        <v>136941.5</v>
      </c>
      <c r="U149" s="2">
        <v>1.0989999999999999E-3</v>
      </c>
      <c r="V149" s="2">
        <v>1.0989999999999999E-3</v>
      </c>
      <c r="W149" s="7">
        <v>1</v>
      </c>
      <c r="X149" s="1" t="s">
        <v>474</v>
      </c>
      <c r="Y149" t="s">
        <v>35</v>
      </c>
    </row>
    <row r="150" spans="1:25" x14ac:dyDescent="0.3">
      <c r="A150" t="s">
        <v>24</v>
      </c>
      <c r="B150" t="s">
        <v>276</v>
      </c>
      <c r="C150" t="s">
        <v>277</v>
      </c>
      <c r="E150" t="s">
        <v>27</v>
      </c>
      <c r="G150" t="s">
        <v>471</v>
      </c>
      <c r="H150" s="1" t="s">
        <v>475</v>
      </c>
      <c r="I150" t="s">
        <v>476</v>
      </c>
      <c r="J150" s="2"/>
      <c r="K150" s="3"/>
      <c r="L150">
        <v>445015</v>
      </c>
      <c r="M150">
        <v>445015</v>
      </c>
      <c r="N150" s="4"/>
      <c r="O150" t="s">
        <v>32</v>
      </c>
      <c r="P150" s="5">
        <v>1068.07</v>
      </c>
      <c r="Q150" s="4">
        <v>0</v>
      </c>
      <c r="R150" t="s">
        <v>33</v>
      </c>
      <c r="S150" s="4">
        <v>9471</v>
      </c>
      <c r="T150" s="6">
        <v>101156.9097</v>
      </c>
      <c r="U150" s="2">
        <v>8.12E-4</v>
      </c>
      <c r="V150" s="2">
        <v>8.12E-4</v>
      </c>
      <c r="W150" s="7">
        <v>1</v>
      </c>
      <c r="X150" s="1" t="s">
        <v>477</v>
      </c>
      <c r="Y150" t="s">
        <v>35</v>
      </c>
    </row>
    <row r="151" spans="1:25" x14ac:dyDescent="0.3">
      <c r="A151" t="s">
        <v>24</v>
      </c>
      <c r="B151" t="s">
        <v>276</v>
      </c>
      <c r="C151" t="s">
        <v>277</v>
      </c>
      <c r="E151" t="s">
        <v>27</v>
      </c>
      <c r="G151" t="s">
        <v>471</v>
      </c>
      <c r="H151" s="1" t="s">
        <v>478</v>
      </c>
      <c r="I151" t="s">
        <v>479</v>
      </c>
      <c r="J151" s="2"/>
      <c r="K151" s="3"/>
      <c r="L151">
        <v>156018</v>
      </c>
      <c r="M151">
        <v>156018</v>
      </c>
      <c r="N151" s="4"/>
      <c r="O151" t="s">
        <v>32</v>
      </c>
      <c r="P151" s="5">
        <v>2366</v>
      </c>
      <c r="Q151" s="4">
        <v>0</v>
      </c>
      <c r="R151" t="s">
        <v>33</v>
      </c>
      <c r="S151" s="4">
        <v>9338</v>
      </c>
      <c r="T151" s="6">
        <v>220937.08</v>
      </c>
      <c r="U151" s="2">
        <v>1.774E-3</v>
      </c>
      <c r="V151" s="2">
        <v>1.774E-3</v>
      </c>
      <c r="W151" s="7">
        <v>1</v>
      </c>
      <c r="X151" s="1" t="s">
        <v>480</v>
      </c>
      <c r="Y151" t="s">
        <v>35</v>
      </c>
    </row>
    <row r="152" spans="1:25" x14ac:dyDescent="0.3">
      <c r="A152" t="s">
        <v>24</v>
      </c>
      <c r="B152" t="s">
        <v>276</v>
      </c>
      <c r="C152" t="s">
        <v>277</v>
      </c>
      <c r="E152" t="s">
        <v>27</v>
      </c>
      <c r="G152" t="s">
        <v>471</v>
      </c>
      <c r="H152" s="1" t="s">
        <v>481</v>
      </c>
      <c r="I152" t="s">
        <v>482</v>
      </c>
      <c r="J152" s="2"/>
      <c r="K152" s="3"/>
      <c r="L152">
        <v>1178284</v>
      </c>
      <c r="M152">
        <v>1178284</v>
      </c>
      <c r="N152" s="4"/>
      <c r="O152" t="s">
        <v>32</v>
      </c>
      <c r="P152" s="5">
        <v>64387</v>
      </c>
      <c r="Q152" s="4">
        <v>0</v>
      </c>
      <c r="R152" t="s">
        <v>33</v>
      </c>
      <c r="S152" s="4">
        <v>293.89999999999998</v>
      </c>
      <c r="T152" s="6">
        <v>189233.39300000001</v>
      </c>
      <c r="U152" s="2">
        <v>1.519E-3</v>
      </c>
      <c r="V152" s="2">
        <v>1.519E-3</v>
      </c>
      <c r="W152" s="7">
        <v>1</v>
      </c>
      <c r="X152" s="1" t="s">
        <v>483</v>
      </c>
      <c r="Y152" t="s">
        <v>35</v>
      </c>
    </row>
    <row r="153" spans="1:25" x14ac:dyDescent="0.3">
      <c r="A153" t="s">
        <v>24</v>
      </c>
      <c r="B153" t="s">
        <v>276</v>
      </c>
      <c r="C153" t="s">
        <v>277</v>
      </c>
      <c r="E153" t="s">
        <v>27</v>
      </c>
      <c r="G153" t="s">
        <v>471</v>
      </c>
      <c r="H153" s="1" t="s">
        <v>484</v>
      </c>
      <c r="I153" t="s">
        <v>485</v>
      </c>
      <c r="J153" s="2"/>
      <c r="K153" s="3"/>
      <c r="L153">
        <v>161018</v>
      </c>
      <c r="M153">
        <v>161018</v>
      </c>
      <c r="N153" s="4"/>
      <c r="O153" t="s">
        <v>32</v>
      </c>
      <c r="P153" s="5">
        <v>14299</v>
      </c>
      <c r="Q153" s="4">
        <v>0</v>
      </c>
      <c r="R153" t="s">
        <v>33</v>
      </c>
      <c r="S153" s="4">
        <v>6053</v>
      </c>
      <c r="T153" s="6">
        <v>865518.47</v>
      </c>
      <c r="U153" s="2">
        <v>6.9499999999999996E-3</v>
      </c>
      <c r="V153" s="2">
        <v>6.9499999999999996E-3</v>
      </c>
      <c r="W153" s="7">
        <v>1</v>
      </c>
      <c r="X153" s="1" t="s">
        <v>486</v>
      </c>
      <c r="Y153" t="s">
        <v>35</v>
      </c>
    </row>
    <row r="154" spans="1:25" x14ac:dyDescent="0.3">
      <c r="A154" t="s">
        <v>24</v>
      </c>
      <c r="B154" t="s">
        <v>276</v>
      </c>
      <c r="C154" t="s">
        <v>277</v>
      </c>
      <c r="E154" t="s">
        <v>27</v>
      </c>
      <c r="G154" t="s">
        <v>487</v>
      </c>
      <c r="H154" s="1" t="s">
        <v>488</v>
      </c>
      <c r="I154" t="s">
        <v>489</v>
      </c>
      <c r="J154" s="2"/>
      <c r="K154" s="3"/>
      <c r="L154">
        <v>1138379</v>
      </c>
      <c r="M154">
        <v>1138379</v>
      </c>
      <c r="N154" s="4"/>
      <c r="O154" t="s">
        <v>32</v>
      </c>
      <c r="P154" s="5">
        <v>47672</v>
      </c>
      <c r="Q154" s="4">
        <v>0</v>
      </c>
      <c r="R154" t="s">
        <v>33</v>
      </c>
      <c r="S154" s="4">
        <v>1953</v>
      </c>
      <c r="T154" s="6">
        <v>931034.16</v>
      </c>
      <c r="U154" s="2">
        <v>7.476E-3</v>
      </c>
      <c r="V154" s="2">
        <v>7.476E-3</v>
      </c>
      <c r="W154" s="7">
        <v>1</v>
      </c>
      <c r="X154" s="1" t="s">
        <v>490</v>
      </c>
      <c r="Y154" t="s">
        <v>35</v>
      </c>
    </row>
    <row r="155" spans="1:25" x14ac:dyDescent="0.3">
      <c r="A155" t="s">
        <v>24</v>
      </c>
      <c r="B155" t="s">
        <v>276</v>
      </c>
      <c r="C155" t="s">
        <v>277</v>
      </c>
      <c r="E155" t="s">
        <v>27</v>
      </c>
      <c r="G155" t="s">
        <v>487</v>
      </c>
      <c r="H155" s="1" t="s">
        <v>491</v>
      </c>
      <c r="I155" t="s">
        <v>492</v>
      </c>
      <c r="J155" s="2"/>
      <c r="K155" s="3"/>
      <c r="L155">
        <v>1187194</v>
      </c>
      <c r="M155">
        <v>1187194</v>
      </c>
      <c r="N155" s="4"/>
      <c r="O155" t="s">
        <v>32</v>
      </c>
      <c r="P155" s="5">
        <v>358715</v>
      </c>
      <c r="Q155" s="4">
        <v>0</v>
      </c>
      <c r="R155" t="s">
        <v>33</v>
      </c>
      <c r="S155" s="4">
        <v>148.80000000000001</v>
      </c>
      <c r="T155" s="6">
        <v>533767.92000000004</v>
      </c>
      <c r="U155" s="2">
        <v>4.2859999999999999E-3</v>
      </c>
      <c r="V155" s="2">
        <v>4.2859999999999999E-3</v>
      </c>
      <c r="W155" s="7">
        <v>1</v>
      </c>
      <c r="X155" s="1" t="s">
        <v>493</v>
      </c>
      <c r="Y155" t="s">
        <v>35</v>
      </c>
    </row>
    <row r="156" spans="1:25" x14ac:dyDescent="0.3">
      <c r="A156" t="s">
        <v>24</v>
      </c>
      <c r="B156" t="s">
        <v>276</v>
      </c>
      <c r="C156" t="s">
        <v>277</v>
      </c>
      <c r="E156" t="s">
        <v>27</v>
      </c>
      <c r="G156" t="s">
        <v>487</v>
      </c>
      <c r="H156" s="1" t="s">
        <v>494</v>
      </c>
      <c r="I156" t="s">
        <v>495</v>
      </c>
      <c r="J156" s="2"/>
      <c r="K156" s="3"/>
      <c r="L156">
        <v>1156280</v>
      </c>
      <c r="M156">
        <v>1156280</v>
      </c>
      <c r="N156" s="4"/>
      <c r="O156" t="s">
        <v>32</v>
      </c>
      <c r="P156" s="5">
        <v>25966</v>
      </c>
      <c r="Q156" s="4">
        <v>0</v>
      </c>
      <c r="R156" t="s">
        <v>33</v>
      </c>
      <c r="S156" s="4">
        <v>1048</v>
      </c>
      <c r="T156" s="6">
        <v>272123.68</v>
      </c>
      <c r="U156" s="2">
        <v>2.1849999999999999E-3</v>
      </c>
      <c r="V156" s="2">
        <v>2.1849999999999999E-3</v>
      </c>
      <c r="W156" s="7">
        <v>1</v>
      </c>
      <c r="X156" s="1" t="s">
        <v>496</v>
      </c>
      <c r="Y156" t="s">
        <v>35</v>
      </c>
    </row>
    <row r="157" spans="1:25" x14ac:dyDescent="0.3">
      <c r="A157" t="s">
        <v>24</v>
      </c>
      <c r="B157" t="s">
        <v>276</v>
      </c>
      <c r="C157" t="s">
        <v>277</v>
      </c>
      <c r="E157" t="s">
        <v>27</v>
      </c>
      <c r="G157" t="s">
        <v>487</v>
      </c>
      <c r="H157" s="1" t="s">
        <v>497</v>
      </c>
      <c r="I157" t="s">
        <v>83</v>
      </c>
      <c r="J157" s="2"/>
      <c r="K157" s="3"/>
      <c r="L157">
        <v>1134881</v>
      </c>
      <c r="M157">
        <v>1134881</v>
      </c>
      <c r="N157" s="4"/>
      <c r="O157" t="s">
        <v>32</v>
      </c>
      <c r="P157" s="5">
        <v>143498</v>
      </c>
      <c r="Q157" s="4">
        <v>0</v>
      </c>
      <c r="R157" t="s">
        <v>33</v>
      </c>
      <c r="S157" s="4">
        <v>818</v>
      </c>
      <c r="T157" s="6">
        <v>1173813.6399999999</v>
      </c>
      <c r="U157" s="2">
        <v>9.4249999999999994E-3</v>
      </c>
      <c r="V157" s="2">
        <v>9.4249999999999994E-3</v>
      </c>
      <c r="W157" s="7">
        <v>1</v>
      </c>
      <c r="X157" s="1" t="s">
        <v>498</v>
      </c>
      <c r="Y157" t="s">
        <v>35</v>
      </c>
    </row>
    <row r="158" spans="1:25" x14ac:dyDescent="0.3">
      <c r="A158" t="s">
        <v>24</v>
      </c>
      <c r="B158" t="s">
        <v>276</v>
      </c>
      <c r="C158" t="s">
        <v>277</v>
      </c>
      <c r="E158" t="s">
        <v>27</v>
      </c>
      <c r="G158" t="s">
        <v>487</v>
      </c>
      <c r="H158" s="1" t="s">
        <v>499</v>
      </c>
      <c r="I158" t="s">
        <v>500</v>
      </c>
      <c r="J158" s="2"/>
      <c r="K158" s="3"/>
      <c r="L158">
        <v>286013</v>
      </c>
      <c r="M158">
        <v>286013</v>
      </c>
      <c r="N158" s="4"/>
      <c r="O158" t="s">
        <v>32</v>
      </c>
      <c r="P158" s="5">
        <v>4030.53</v>
      </c>
      <c r="Q158" s="4">
        <v>0</v>
      </c>
      <c r="R158" t="s">
        <v>33</v>
      </c>
      <c r="S158" s="4">
        <v>2600</v>
      </c>
      <c r="T158" s="6">
        <v>104793.78</v>
      </c>
      <c r="U158" s="2">
        <v>8.4099999999999995E-4</v>
      </c>
      <c r="V158" s="2">
        <v>8.4099999999999995E-4</v>
      </c>
      <c r="W158" s="7">
        <v>1</v>
      </c>
      <c r="X158" s="1" t="s">
        <v>501</v>
      </c>
      <c r="Y158" t="s">
        <v>35</v>
      </c>
    </row>
    <row r="159" spans="1:25" x14ac:dyDescent="0.3">
      <c r="A159" t="s">
        <v>24</v>
      </c>
      <c r="B159" t="s">
        <v>276</v>
      </c>
      <c r="C159" t="s">
        <v>277</v>
      </c>
      <c r="E159" t="s">
        <v>27</v>
      </c>
      <c r="G159" t="s">
        <v>502</v>
      </c>
      <c r="H159" s="1" t="s">
        <v>503</v>
      </c>
      <c r="I159" t="s">
        <v>504</v>
      </c>
      <c r="J159" s="2"/>
      <c r="K159" s="3"/>
      <c r="L159">
        <v>1096106</v>
      </c>
      <c r="M159">
        <v>1096106</v>
      </c>
      <c r="N159" s="4"/>
      <c r="O159" t="s">
        <v>32</v>
      </c>
      <c r="P159" s="5">
        <v>9254</v>
      </c>
      <c r="Q159" s="4">
        <v>0</v>
      </c>
      <c r="R159" t="s">
        <v>33</v>
      </c>
      <c r="S159" s="4">
        <v>7033</v>
      </c>
      <c r="T159" s="6">
        <v>650833.81999999995</v>
      </c>
      <c r="U159" s="2">
        <v>5.2259999999999997E-3</v>
      </c>
      <c r="V159" s="2">
        <v>5.2259999999999997E-3</v>
      </c>
      <c r="W159" s="7">
        <v>1</v>
      </c>
      <c r="X159" s="1" t="s">
        <v>505</v>
      </c>
      <c r="Y159" t="s">
        <v>35</v>
      </c>
    </row>
    <row r="160" spans="1:25" x14ac:dyDescent="0.3">
      <c r="A160" t="s">
        <v>24</v>
      </c>
      <c r="B160" t="s">
        <v>276</v>
      </c>
      <c r="C160" t="s">
        <v>277</v>
      </c>
      <c r="E160" t="s">
        <v>27</v>
      </c>
      <c r="G160" t="s">
        <v>502</v>
      </c>
      <c r="H160" s="1" t="s">
        <v>506</v>
      </c>
      <c r="I160" t="s">
        <v>507</v>
      </c>
      <c r="J160" s="2"/>
      <c r="K160" s="3"/>
      <c r="L160">
        <v>1157403</v>
      </c>
      <c r="M160">
        <v>1157403</v>
      </c>
      <c r="N160" s="4"/>
      <c r="O160" t="s">
        <v>32</v>
      </c>
      <c r="P160" s="5">
        <v>451</v>
      </c>
      <c r="Q160" s="4">
        <v>0</v>
      </c>
      <c r="R160" t="s">
        <v>33</v>
      </c>
      <c r="S160" s="4">
        <v>1491</v>
      </c>
      <c r="T160" s="6">
        <v>6724.41</v>
      </c>
      <c r="U160" s="2">
        <v>5.3000000000000001E-5</v>
      </c>
      <c r="V160" s="2">
        <v>5.3000000000000001E-5</v>
      </c>
      <c r="W160" s="7">
        <v>1</v>
      </c>
      <c r="X160" s="1" t="s">
        <v>508</v>
      </c>
      <c r="Y160" t="s">
        <v>35</v>
      </c>
    </row>
    <row r="161" spans="1:25" x14ac:dyDescent="0.3">
      <c r="A161" t="s">
        <v>24</v>
      </c>
      <c r="B161" t="s">
        <v>276</v>
      </c>
      <c r="C161" t="s">
        <v>277</v>
      </c>
      <c r="E161" t="s">
        <v>27</v>
      </c>
      <c r="G161" t="s">
        <v>502</v>
      </c>
      <c r="H161" s="1" t="s">
        <v>509</v>
      </c>
      <c r="I161" t="s">
        <v>510</v>
      </c>
      <c r="J161" s="2"/>
      <c r="K161" s="3"/>
      <c r="L161">
        <v>1158161</v>
      </c>
      <c r="M161">
        <v>1158161</v>
      </c>
      <c r="N161" s="4"/>
      <c r="O161" t="s">
        <v>32</v>
      </c>
      <c r="P161" s="5">
        <v>4938</v>
      </c>
      <c r="Q161" s="4">
        <v>0</v>
      </c>
      <c r="R161" t="s">
        <v>33</v>
      </c>
      <c r="S161" s="4">
        <v>2630</v>
      </c>
      <c r="T161" s="6">
        <v>129869.4</v>
      </c>
      <c r="U161" s="2">
        <v>1.042E-3</v>
      </c>
      <c r="V161" s="2">
        <v>1.042E-3</v>
      </c>
      <c r="W161" s="7">
        <v>1</v>
      </c>
      <c r="X161" s="1" t="s">
        <v>511</v>
      </c>
      <c r="Y161" t="s">
        <v>35</v>
      </c>
    </row>
    <row r="162" spans="1:25" x14ac:dyDescent="0.3">
      <c r="A162" t="s">
        <v>24</v>
      </c>
      <c r="B162" t="s">
        <v>276</v>
      </c>
      <c r="C162" t="s">
        <v>277</v>
      </c>
      <c r="E162" t="s">
        <v>27</v>
      </c>
      <c r="G162" t="s">
        <v>512</v>
      </c>
      <c r="H162" s="1" t="s">
        <v>513</v>
      </c>
      <c r="I162" t="s">
        <v>514</v>
      </c>
      <c r="J162" s="2"/>
      <c r="K162" s="3"/>
      <c r="L162">
        <v>1084953</v>
      </c>
      <c r="M162">
        <v>1084953</v>
      </c>
      <c r="N162" s="4"/>
      <c r="O162" t="s">
        <v>32</v>
      </c>
      <c r="P162" s="5">
        <v>1111</v>
      </c>
      <c r="Q162" s="4">
        <v>0</v>
      </c>
      <c r="R162" t="s">
        <v>33</v>
      </c>
      <c r="S162" s="4">
        <v>1800</v>
      </c>
      <c r="T162" s="6">
        <v>19998</v>
      </c>
      <c r="U162" s="2">
        <v>1.6000000000000001E-4</v>
      </c>
      <c r="V162" s="2">
        <v>1.6000000000000001E-4</v>
      </c>
      <c r="W162" s="7">
        <v>1</v>
      </c>
      <c r="X162" s="1" t="s">
        <v>515</v>
      </c>
      <c r="Y162" t="s">
        <v>35</v>
      </c>
    </row>
    <row r="163" spans="1:25" x14ac:dyDescent="0.3">
      <c r="A163" t="s">
        <v>24</v>
      </c>
      <c r="B163" t="s">
        <v>276</v>
      </c>
      <c r="C163" t="s">
        <v>277</v>
      </c>
      <c r="E163" t="s">
        <v>27</v>
      </c>
      <c r="G163" t="s">
        <v>512</v>
      </c>
      <c r="H163" s="1" t="s">
        <v>516</v>
      </c>
      <c r="I163" t="s">
        <v>517</v>
      </c>
      <c r="J163" s="2"/>
      <c r="K163" s="3"/>
      <c r="L163">
        <v>273011</v>
      </c>
      <c r="M163">
        <v>273011</v>
      </c>
      <c r="N163" s="4"/>
      <c r="O163" t="s">
        <v>32</v>
      </c>
      <c r="P163" s="5">
        <v>1982</v>
      </c>
      <c r="Q163" s="4">
        <v>0</v>
      </c>
      <c r="R163" t="s">
        <v>33</v>
      </c>
      <c r="S163" s="4">
        <v>35500</v>
      </c>
      <c r="T163" s="6">
        <v>703610</v>
      </c>
      <c r="U163" s="2">
        <v>5.6499999999999996E-3</v>
      </c>
      <c r="V163" s="2">
        <v>5.6499999999999996E-3</v>
      </c>
      <c r="W163" s="7">
        <v>1</v>
      </c>
      <c r="X163" s="1" t="s">
        <v>518</v>
      </c>
      <c r="Y163" t="s">
        <v>35</v>
      </c>
    </row>
    <row r="164" spans="1:25" x14ac:dyDescent="0.3">
      <c r="A164" t="s">
        <v>24</v>
      </c>
      <c r="B164" t="s">
        <v>276</v>
      </c>
      <c r="C164" t="s">
        <v>277</v>
      </c>
      <c r="E164" t="s">
        <v>27</v>
      </c>
      <c r="G164" t="s">
        <v>512</v>
      </c>
      <c r="H164" s="1" t="s">
        <v>519</v>
      </c>
      <c r="I164" t="s">
        <v>520</v>
      </c>
      <c r="J164" s="2"/>
      <c r="K164" s="3"/>
      <c r="L164">
        <v>1226992</v>
      </c>
      <c r="M164">
        <v>1226992</v>
      </c>
      <c r="N164" s="4"/>
      <c r="O164" t="s">
        <v>32</v>
      </c>
      <c r="P164" s="5">
        <v>36110</v>
      </c>
      <c r="Q164" s="4">
        <v>0</v>
      </c>
      <c r="R164" t="s">
        <v>33</v>
      </c>
      <c r="S164" s="4">
        <v>479.7</v>
      </c>
      <c r="T164" s="6">
        <v>173219.67</v>
      </c>
      <c r="U164" s="2">
        <v>1.39E-3</v>
      </c>
      <c r="V164" s="2">
        <v>1.39E-3</v>
      </c>
      <c r="W164" s="7">
        <v>1</v>
      </c>
      <c r="X164" s="1" t="s">
        <v>521</v>
      </c>
      <c r="Y164" t="s">
        <v>35</v>
      </c>
    </row>
    <row r="165" spans="1:25" x14ac:dyDescent="0.3">
      <c r="A165" t="s">
        <v>24</v>
      </c>
      <c r="B165" t="s">
        <v>276</v>
      </c>
      <c r="C165" t="s">
        <v>277</v>
      </c>
      <c r="E165" t="s">
        <v>27</v>
      </c>
      <c r="G165" t="s">
        <v>512</v>
      </c>
      <c r="H165" s="1" t="s">
        <v>522</v>
      </c>
      <c r="I165" t="s">
        <v>523</v>
      </c>
      <c r="J165" s="2"/>
      <c r="K165" s="3"/>
      <c r="L165">
        <v>1083377</v>
      </c>
      <c r="M165">
        <v>1083377</v>
      </c>
      <c r="N165" s="4"/>
      <c r="O165" t="s">
        <v>32</v>
      </c>
      <c r="P165" s="5">
        <v>35461</v>
      </c>
      <c r="Q165" s="4">
        <v>0</v>
      </c>
      <c r="R165" t="s">
        <v>33</v>
      </c>
      <c r="S165" s="4">
        <v>1325</v>
      </c>
      <c r="T165" s="6">
        <v>469858.25</v>
      </c>
      <c r="U165" s="2">
        <v>3.7729999999999999E-3</v>
      </c>
      <c r="V165" s="2">
        <v>3.7729999999999999E-3</v>
      </c>
      <c r="W165" s="7">
        <v>1</v>
      </c>
      <c r="X165" s="1" t="s">
        <v>524</v>
      </c>
      <c r="Y165" t="s">
        <v>35</v>
      </c>
    </row>
    <row r="166" spans="1:25" x14ac:dyDescent="0.3">
      <c r="A166" t="s">
        <v>24</v>
      </c>
      <c r="B166" t="s">
        <v>276</v>
      </c>
      <c r="C166" t="s">
        <v>277</v>
      </c>
      <c r="E166" t="s">
        <v>27</v>
      </c>
      <c r="G166" t="s">
        <v>525</v>
      </c>
      <c r="H166" s="1" t="s">
        <v>526</v>
      </c>
      <c r="I166" t="s">
        <v>527</v>
      </c>
      <c r="J166" s="2"/>
      <c r="K166" s="3"/>
      <c r="L166">
        <v>230011</v>
      </c>
      <c r="M166">
        <v>230011</v>
      </c>
      <c r="N166" s="4"/>
      <c r="O166" t="s">
        <v>32</v>
      </c>
      <c r="P166" s="5">
        <v>139957</v>
      </c>
      <c r="Q166" s="4">
        <v>0</v>
      </c>
      <c r="R166" t="s">
        <v>33</v>
      </c>
      <c r="S166" s="4">
        <v>826.5</v>
      </c>
      <c r="T166" s="6">
        <v>1156744.605</v>
      </c>
      <c r="U166" s="2">
        <v>9.2879999999999994E-3</v>
      </c>
      <c r="V166" s="2">
        <v>9.2879999999999994E-3</v>
      </c>
      <c r="W166" s="7">
        <v>1</v>
      </c>
      <c r="X166" s="1" t="s">
        <v>528</v>
      </c>
      <c r="Y166" t="s">
        <v>35</v>
      </c>
    </row>
    <row r="167" spans="1:25" x14ac:dyDescent="0.3">
      <c r="A167" t="s">
        <v>24</v>
      </c>
      <c r="B167" t="s">
        <v>276</v>
      </c>
      <c r="C167" t="s">
        <v>277</v>
      </c>
      <c r="E167" t="s">
        <v>27</v>
      </c>
      <c r="G167" t="s">
        <v>525</v>
      </c>
      <c r="H167" s="1" t="s">
        <v>529</v>
      </c>
      <c r="I167" t="s">
        <v>60</v>
      </c>
      <c r="J167" s="2"/>
      <c r="K167" s="3"/>
      <c r="L167">
        <v>1101534</v>
      </c>
      <c r="M167">
        <v>1101534</v>
      </c>
      <c r="N167" s="4"/>
      <c r="O167" t="s">
        <v>32</v>
      </c>
      <c r="P167" s="5">
        <v>460</v>
      </c>
      <c r="Q167" s="4">
        <v>0</v>
      </c>
      <c r="R167" t="s">
        <v>33</v>
      </c>
      <c r="S167" s="4">
        <v>3653</v>
      </c>
      <c r="T167" s="6">
        <v>16803.8</v>
      </c>
      <c r="U167" s="2">
        <v>1.34E-4</v>
      </c>
      <c r="V167" s="2">
        <v>1.34E-4</v>
      </c>
      <c r="W167" s="7">
        <v>1</v>
      </c>
      <c r="X167" s="1" t="s">
        <v>530</v>
      </c>
      <c r="Y167" t="s">
        <v>35</v>
      </c>
    </row>
    <row r="168" spans="1:25" x14ac:dyDescent="0.3">
      <c r="A168" t="s">
        <v>24</v>
      </c>
      <c r="B168" t="s">
        <v>276</v>
      </c>
      <c r="C168" t="s">
        <v>277</v>
      </c>
      <c r="E168" t="s">
        <v>531</v>
      </c>
      <c r="G168" t="s">
        <v>532</v>
      </c>
      <c r="H168" s="1" t="s">
        <v>533</v>
      </c>
      <c r="I168" t="s">
        <v>534</v>
      </c>
      <c r="J168" s="2"/>
      <c r="K168" s="3"/>
      <c r="L168">
        <v>71270151</v>
      </c>
      <c r="M168" t="s">
        <v>535</v>
      </c>
      <c r="N168" s="4">
        <v>1370</v>
      </c>
      <c r="O168" t="s">
        <v>536</v>
      </c>
      <c r="P168" s="5">
        <v>1000</v>
      </c>
      <c r="Q168" s="4">
        <v>0</v>
      </c>
      <c r="R168" t="s">
        <v>33</v>
      </c>
      <c r="S168" s="4">
        <v>1.37</v>
      </c>
      <c r="T168" s="6">
        <v>4304.951</v>
      </c>
      <c r="U168" s="2">
        <v>3.4E-5</v>
      </c>
      <c r="V168" s="2">
        <v>3.4E-5</v>
      </c>
      <c r="W168" s="7">
        <v>3.1423000000000001</v>
      </c>
      <c r="X168" s="1" t="s">
        <v>537</v>
      </c>
      <c r="Y168" t="s">
        <v>538</v>
      </c>
    </row>
    <row r="169" spans="1:25" x14ac:dyDescent="0.3">
      <c r="A169" t="s">
        <v>24</v>
      </c>
      <c r="B169" t="s">
        <v>276</v>
      </c>
      <c r="C169" t="s">
        <v>277</v>
      </c>
      <c r="E169" t="s">
        <v>531</v>
      </c>
      <c r="G169" t="s">
        <v>539</v>
      </c>
      <c r="H169" s="1" t="s">
        <v>540</v>
      </c>
      <c r="I169" t="s">
        <v>541</v>
      </c>
      <c r="J169" s="2"/>
      <c r="K169" s="3"/>
      <c r="L169">
        <v>51599</v>
      </c>
      <c r="M169" t="s">
        <v>542</v>
      </c>
      <c r="N169" s="4">
        <v>333960.52</v>
      </c>
      <c r="O169" t="s">
        <v>536</v>
      </c>
      <c r="P169" s="5">
        <v>37148</v>
      </c>
      <c r="Q169" s="4">
        <v>0</v>
      </c>
      <c r="R169" t="s">
        <v>33</v>
      </c>
      <c r="S169" s="4">
        <v>8.99</v>
      </c>
      <c r="T169" s="6">
        <v>1049404.142</v>
      </c>
      <c r="U169" s="2">
        <v>8.4259999999999995E-3</v>
      </c>
      <c r="V169" s="2">
        <v>8.4259999999999995E-3</v>
      </c>
      <c r="W169" s="7">
        <v>3.1423000000000001</v>
      </c>
      <c r="X169" s="1" t="s">
        <v>543</v>
      </c>
      <c r="Y169" t="s">
        <v>538</v>
      </c>
    </row>
    <row r="170" spans="1:25" x14ac:dyDescent="0.3">
      <c r="A170" t="s">
        <v>24</v>
      </c>
      <c r="B170" t="s">
        <v>276</v>
      </c>
      <c r="C170" t="s">
        <v>277</v>
      </c>
      <c r="E170" t="s">
        <v>531</v>
      </c>
      <c r="G170" t="s">
        <v>544</v>
      </c>
      <c r="H170" s="1" t="s">
        <v>545</v>
      </c>
      <c r="I170" t="s">
        <v>546</v>
      </c>
      <c r="J170" s="2"/>
      <c r="K170" s="3"/>
      <c r="L170">
        <v>72566748</v>
      </c>
      <c r="M170" t="s">
        <v>547</v>
      </c>
      <c r="N170" s="4">
        <v>262350</v>
      </c>
      <c r="O170" t="s">
        <v>536</v>
      </c>
      <c r="P170" s="5">
        <v>19080</v>
      </c>
      <c r="Q170" s="4">
        <v>0</v>
      </c>
      <c r="R170" t="s">
        <v>33</v>
      </c>
      <c r="S170" s="4">
        <v>13.75</v>
      </c>
      <c r="T170" s="6">
        <v>824382.40500000003</v>
      </c>
      <c r="U170" s="2">
        <v>6.6189999999999999E-3</v>
      </c>
      <c r="V170" s="2">
        <v>6.6189999999999999E-3</v>
      </c>
      <c r="W170" s="7">
        <v>3.1423000000000001</v>
      </c>
      <c r="X170" s="1" t="s">
        <v>548</v>
      </c>
      <c r="Y170" t="s">
        <v>538</v>
      </c>
    </row>
    <row r="171" spans="1:25" x14ac:dyDescent="0.3">
      <c r="A171" t="s">
        <v>24</v>
      </c>
      <c r="B171" t="s">
        <v>276</v>
      </c>
      <c r="C171" t="s">
        <v>277</v>
      </c>
      <c r="E171" t="s">
        <v>531</v>
      </c>
      <c r="G171" t="s">
        <v>549</v>
      </c>
      <c r="H171" s="1" t="s">
        <v>550</v>
      </c>
      <c r="I171" t="s">
        <v>551</v>
      </c>
      <c r="J171" s="2"/>
      <c r="K171" s="3"/>
      <c r="L171">
        <v>72892698</v>
      </c>
      <c r="M171" t="s">
        <v>552</v>
      </c>
      <c r="N171" s="4">
        <v>37046.400000000001</v>
      </c>
      <c r="O171" t="s">
        <v>536</v>
      </c>
      <c r="P171" s="5">
        <v>510</v>
      </c>
      <c r="Q171" s="4">
        <v>0</v>
      </c>
      <c r="R171" t="s">
        <v>33</v>
      </c>
      <c r="S171" s="4">
        <v>72.64</v>
      </c>
      <c r="T171" s="6">
        <v>116410.90272</v>
      </c>
      <c r="U171" s="2">
        <v>9.3400000000000004E-4</v>
      </c>
      <c r="V171" s="2">
        <v>9.3400000000000004E-4</v>
      </c>
      <c r="W171" s="7">
        <v>3.1423000000000001</v>
      </c>
      <c r="X171" s="1" t="s">
        <v>553</v>
      </c>
      <c r="Y171" t="s">
        <v>538</v>
      </c>
    </row>
    <row r="172" spans="1:25" x14ac:dyDescent="0.3">
      <c r="A172" t="s">
        <v>24</v>
      </c>
      <c r="B172" t="s">
        <v>276</v>
      </c>
      <c r="C172" t="s">
        <v>277</v>
      </c>
      <c r="E172" t="s">
        <v>531</v>
      </c>
      <c r="G172" t="s">
        <v>554</v>
      </c>
      <c r="H172" s="1" t="s">
        <v>555</v>
      </c>
      <c r="I172" t="s">
        <v>556</v>
      </c>
      <c r="J172" s="2"/>
      <c r="K172" s="3"/>
      <c r="L172">
        <v>12690</v>
      </c>
      <c r="M172" t="s">
        <v>557</v>
      </c>
      <c r="N172" s="4">
        <v>4334</v>
      </c>
      <c r="O172" t="s">
        <v>536</v>
      </c>
      <c r="P172" s="5">
        <v>220</v>
      </c>
      <c r="Q172" s="4">
        <v>0</v>
      </c>
      <c r="R172" t="s">
        <v>33</v>
      </c>
      <c r="S172" s="4">
        <v>19.7</v>
      </c>
      <c r="T172" s="6">
        <v>13618.7282</v>
      </c>
      <c r="U172" s="2">
        <v>1.0900000000000001E-4</v>
      </c>
      <c r="V172" s="2">
        <v>1.0900000000000001E-4</v>
      </c>
      <c r="W172" s="7">
        <v>3.1423000000000001</v>
      </c>
      <c r="X172" s="1" t="s">
        <v>558</v>
      </c>
      <c r="Y172" t="s">
        <v>538</v>
      </c>
    </row>
    <row r="173" spans="1:25" x14ac:dyDescent="0.3">
      <c r="A173" t="s">
        <v>24</v>
      </c>
      <c r="B173" t="s">
        <v>276</v>
      </c>
      <c r="C173" t="s">
        <v>277</v>
      </c>
      <c r="E173" t="s">
        <v>531</v>
      </c>
      <c r="G173" t="s">
        <v>559</v>
      </c>
      <c r="H173" s="1" t="s">
        <v>560</v>
      </c>
      <c r="I173" t="s">
        <v>561</v>
      </c>
      <c r="J173" s="2"/>
      <c r="K173" s="3"/>
      <c r="L173">
        <v>72813280</v>
      </c>
      <c r="M173" t="s">
        <v>562</v>
      </c>
      <c r="N173" s="4">
        <v>403620</v>
      </c>
      <c r="O173" t="s">
        <v>536</v>
      </c>
      <c r="P173" s="5">
        <v>14000</v>
      </c>
      <c r="Q173" s="4">
        <v>0</v>
      </c>
      <c r="R173" t="s">
        <v>33</v>
      </c>
      <c r="S173" s="4">
        <v>28.83</v>
      </c>
      <c r="T173" s="6">
        <v>1268295.1259999999</v>
      </c>
      <c r="U173" s="2">
        <v>1.0184E-2</v>
      </c>
      <c r="V173" s="2">
        <v>1.0184E-2</v>
      </c>
      <c r="W173" s="7">
        <v>3.1423000000000001</v>
      </c>
      <c r="X173" s="1" t="s">
        <v>563</v>
      </c>
      <c r="Y173" t="s">
        <v>538</v>
      </c>
    </row>
    <row r="174" spans="1:25" x14ac:dyDescent="0.3">
      <c r="A174" t="s">
        <v>24</v>
      </c>
      <c r="B174" t="s">
        <v>276</v>
      </c>
      <c r="C174" t="s">
        <v>277</v>
      </c>
      <c r="E174" t="s">
        <v>531</v>
      </c>
      <c r="G174" t="s">
        <v>559</v>
      </c>
      <c r="H174" s="1" t="s">
        <v>564</v>
      </c>
      <c r="I174" t="s">
        <v>565</v>
      </c>
      <c r="J174" s="2"/>
      <c r="K174" s="3"/>
      <c r="L174">
        <v>71048847</v>
      </c>
      <c r="M174" t="s">
        <v>566</v>
      </c>
      <c r="N174" s="4">
        <v>897504</v>
      </c>
      <c r="O174" t="s">
        <v>536</v>
      </c>
      <c r="P174" s="5">
        <v>18698</v>
      </c>
      <c r="Q174" s="4">
        <v>0</v>
      </c>
      <c r="R174" t="s">
        <v>33</v>
      </c>
      <c r="S174" s="4">
        <v>48</v>
      </c>
      <c r="T174" s="6">
        <v>2820226.8191999998</v>
      </c>
      <c r="U174" s="2">
        <v>2.2645999999999999E-2</v>
      </c>
      <c r="V174" s="2">
        <v>2.2645999999999999E-2</v>
      </c>
      <c r="W174" s="7">
        <v>3.1423000000000001</v>
      </c>
      <c r="X174" s="1" t="s">
        <v>567</v>
      </c>
      <c r="Y174" t="s">
        <v>538</v>
      </c>
    </row>
    <row r="175" spans="1:25" x14ac:dyDescent="0.3">
      <c r="A175" t="s">
        <v>24</v>
      </c>
      <c r="B175" t="s">
        <v>276</v>
      </c>
      <c r="C175" t="s">
        <v>277</v>
      </c>
      <c r="E175" t="s">
        <v>568</v>
      </c>
      <c r="G175" t="s">
        <v>569</v>
      </c>
      <c r="H175" s="1" t="s">
        <v>570</v>
      </c>
      <c r="I175" t="s">
        <v>571</v>
      </c>
      <c r="J175" s="2"/>
      <c r="K175" s="3"/>
      <c r="L175">
        <v>73839953</v>
      </c>
      <c r="M175" t="s">
        <v>572</v>
      </c>
      <c r="N175" s="4">
        <v>60402.5</v>
      </c>
      <c r="O175" t="s">
        <v>536</v>
      </c>
      <c r="P175" s="5">
        <v>16325</v>
      </c>
      <c r="Q175" s="4">
        <v>0</v>
      </c>
      <c r="R175" t="s">
        <v>33</v>
      </c>
      <c r="S175" s="4">
        <v>3.7</v>
      </c>
      <c r="T175" s="6">
        <v>189802.77575</v>
      </c>
      <c r="U175" s="2">
        <v>1.524E-3</v>
      </c>
      <c r="V175" s="2">
        <v>1.524E-3</v>
      </c>
      <c r="W175" s="7">
        <v>3.1423000000000001</v>
      </c>
      <c r="X175" s="1" t="s">
        <v>573</v>
      </c>
      <c r="Y175" t="s">
        <v>538</v>
      </c>
    </row>
    <row r="176" spans="1:25" x14ac:dyDescent="0.3">
      <c r="A176" t="s">
        <v>24</v>
      </c>
      <c r="B176" t="s">
        <v>276</v>
      </c>
      <c r="C176" t="s">
        <v>574</v>
      </c>
      <c r="E176" t="s">
        <v>568</v>
      </c>
      <c r="G176" t="s">
        <v>575</v>
      </c>
      <c r="H176" s="1" t="s">
        <v>576</v>
      </c>
      <c r="I176" t="s">
        <v>577</v>
      </c>
      <c r="J176" s="2"/>
      <c r="K176" s="3"/>
      <c r="L176">
        <v>33001</v>
      </c>
      <c r="M176" t="s">
        <v>578</v>
      </c>
      <c r="N176" s="4">
        <v>724405.44</v>
      </c>
      <c r="O176" t="s">
        <v>536</v>
      </c>
      <c r="P176" s="5">
        <v>1056</v>
      </c>
      <c r="Q176" s="4">
        <v>0</v>
      </c>
      <c r="R176" t="s">
        <v>33</v>
      </c>
      <c r="S176" s="4">
        <v>685.99</v>
      </c>
      <c r="T176" s="6">
        <v>2276299.2141100001</v>
      </c>
      <c r="U176" s="2">
        <v>1.8279E-2</v>
      </c>
      <c r="V176" s="2">
        <v>1.8279E-2</v>
      </c>
      <c r="W176" s="7">
        <v>3.1423000000000001</v>
      </c>
      <c r="X176" s="1" t="s">
        <v>579</v>
      </c>
      <c r="Y176" t="s">
        <v>538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6"/>
  <sheetViews>
    <sheetView rightToLeft="1" workbookViewId="0">
      <pane ySplit="1" topLeftCell="A2" activePane="bottomLeft" state="frozenSplit"/>
      <selection pane="bottomLeft"/>
    </sheetView>
  </sheetViews>
  <sheetFormatPr defaultRowHeight="14" x14ac:dyDescent="0.3"/>
  <sheetData>
    <row r="2" spans="1:5" x14ac:dyDescent="0.3">
      <c r="A2" t="s">
        <v>580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581</v>
      </c>
      <c r="B3">
        <v>123713035.83743</v>
      </c>
      <c r="C3">
        <v>0.99343000000000004</v>
      </c>
      <c r="D3">
        <v>0.99343000000000004</v>
      </c>
      <c r="E3">
        <v>0.99343000000000004</v>
      </c>
    </row>
    <row r="4" spans="1:5" x14ac:dyDescent="0.3">
      <c r="A4" t="s">
        <v>582</v>
      </c>
      <c r="B4">
        <v>0</v>
      </c>
      <c r="C4">
        <v>0</v>
      </c>
      <c r="D4">
        <v>0</v>
      </c>
      <c r="E4">
        <v>0</v>
      </c>
    </row>
    <row r="5" spans="1:5" x14ac:dyDescent="0.3">
      <c r="A5" t="s">
        <v>583</v>
      </c>
      <c r="B5">
        <v>7461.2342399999998</v>
      </c>
      <c r="C5">
        <v>6.0000000000000002E-5</v>
      </c>
      <c r="D5">
        <v>6.0000000000000002E-5</v>
      </c>
      <c r="E5">
        <v>6.0000000000000002E-5</v>
      </c>
    </row>
    <row r="6" spans="1:5" x14ac:dyDescent="0.3">
      <c r="A6" t="s">
        <v>584</v>
      </c>
      <c r="B6">
        <v>810108.93</v>
      </c>
      <c r="C6">
        <v>6.5100000000000002E-3</v>
      </c>
      <c r="D6">
        <v>6.5100000000000002E-3</v>
      </c>
      <c r="E6">
        <v>6.5100000000000002E-3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rightToLeft="1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3.83203125" bestFit="1" customWidth="1"/>
    <col min="2" max="2" width="18.83203125" bestFit="1" customWidth="1"/>
    <col min="3" max="5" width="31.58203125" bestFit="1" customWidth="1"/>
    <col min="6" max="8" width="8.83203125" bestFit="1" customWidth="1"/>
  </cols>
  <sheetData>
    <row r="1" spans="1:8" x14ac:dyDescent="0.3">
      <c r="B1" t="s">
        <v>585</v>
      </c>
      <c r="C1" t="s">
        <v>20</v>
      </c>
      <c r="D1" t="s">
        <v>20</v>
      </c>
      <c r="E1" t="s">
        <v>20</v>
      </c>
    </row>
    <row r="2" spans="1:8" x14ac:dyDescent="0.3">
      <c r="A2" t="s">
        <v>24</v>
      </c>
      <c r="B2" t="s">
        <v>276</v>
      </c>
      <c r="C2" t="s">
        <v>574</v>
      </c>
      <c r="D2" t="s">
        <v>568</v>
      </c>
      <c r="E2">
        <v>2276299.2141100001</v>
      </c>
      <c r="F2">
        <v>1.8279E-2</v>
      </c>
      <c r="G2">
        <v>1.8279E-2</v>
      </c>
      <c r="H2">
        <v>1.8279E-2</v>
      </c>
    </row>
    <row r="3" spans="1:8" x14ac:dyDescent="0.3">
      <c r="A3" t="s">
        <v>24</v>
      </c>
      <c r="B3" t="s">
        <v>276</v>
      </c>
      <c r="C3" t="s">
        <v>277</v>
      </c>
      <c r="D3" t="s">
        <v>568</v>
      </c>
      <c r="E3">
        <v>189802.77575</v>
      </c>
      <c r="F3">
        <v>1.524E-3</v>
      </c>
      <c r="G3">
        <v>1.524E-3</v>
      </c>
      <c r="H3">
        <v>1.524E-3</v>
      </c>
    </row>
    <row r="4" spans="1:8" x14ac:dyDescent="0.3">
      <c r="A4" t="s">
        <v>24</v>
      </c>
      <c r="B4" t="s">
        <v>25</v>
      </c>
      <c r="D4" t="s">
        <v>27</v>
      </c>
      <c r="E4">
        <v>42830570.62658</v>
      </c>
      <c r="F4">
        <v>0.34389999999999998</v>
      </c>
      <c r="G4">
        <v>0.34389999999999998</v>
      </c>
      <c r="H4">
        <v>0.34389999999999998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>
        <v>215452.8702</v>
      </c>
      <c r="F5">
        <v>1.7290000000000001E-3</v>
      </c>
      <c r="G5">
        <v>1.7290000000000001E-3</v>
      </c>
      <c r="H5">
        <v>1.7290000000000001E-3</v>
      </c>
    </row>
    <row r="6" spans="1:8" x14ac:dyDescent="0.3">
      <c r="A6" t="s">
        <v>24</v>
      </c>
      <c r="B6" t="s">
        <v>276</v>
      </c>
      <c r="C6" t="s">
        <v>277</v>
      </c>
      <c r="D6" t="s">
        <v>27</v>
      </c>
      <c r="E6">
        <v>72104267.276700005</v>
      </c>
      <c r="F6">
        <v>0.57896599999999998</v>
      </c>
      <c r="G6">
        <v>0.57896599999999998</v>
      </c>
      <c r="H6">
        <v>0.57896599999999998</v>
      </c>
    </row>
    <row r="7" spans="1:8" x14ac:dyDescent="0.3">
      <c r="A7" t="s">
        <v>24</v>
      </c>
      <c r="B7" t="s">
        <v>276</v>
      </c>
      <c r="C7" t="s">
        <v>277</v>
      </c>
      <c r="D7" t="s">
        <v>531</v>
      </c>
      <c r="E7">
        <v>6096643.07412</v>
      </c>
      <c r="F7">
        <v>4.8952000000000002E-2</v>
      </c>
      <c r="G7">
        <v>4.8952000000000002E-2</v>
      </c>
      <c r="H7">
        <v>4.8952000000000002E-2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rightToLeft="1" workbookViewId="0">
      <pane ySplit="1" topLeftCell="A2" activePane="bottomLeft" state="frozenSplit"/>
      <selection pane="bottomLeft"/>
    </sheetView>
  </sheetViews>
  <sheetFormatPr defaultRowHeight="14" x14ac:dyDescent="0.3"/>
  <cols>
    <col min="2" max="2" width="10.83203125" style="5" bestFit="1" customWidth="1"/>
    <col min="3" max="5" width="9" style="2"/>
    <col min="6" max="6" width="0" hidden="1" customWidth="1"/>
  </cols>
  <sheetData>
    <row r="1" spans="1:6" s="17" customFormat="1" ht="46" x14ac:dyDescent="0.25">
      <c r="B1" s="18" t="s">
        <v>585</v>
      </c>
      <c r="C1" s="20" t="s">
        <v>20</v>
      </c>
      <c r="D1" s="20" t="s">
        <v>20</v>
      </c>
      <c r="E1" s="20" t="s">
        <v>20</v>
      </c>
    </row>
    <row r="2" spans="1:6" x14ac:dyDescent="0.3">
      <c r="A2" t="s">
        <v>586</v>
      </c>
      <c r="B2" s="5">
        <v>2276299.2141100001</v>
      </c>
      <c r="C2" s="2">
        <v>1.8279E-2</v>
      </c>
      <c r="D2" s="2">
        <v>1.8279E-2</v>
      </c>
      <c r="E2" s="2">
        <v>1.8279E-2</v>
      </c>
      <c r="F2">
        <v>0</v>
      </c>
    </row>
    <row r="3" spans="1:6" x14ac:dyDescent="0.3">
      <c r="A3" t="s">
        <v>587</v>
      </c>
      <c r="B3" s="5">
        <v>189802.77575</v>
      </c>
      <c r="C3" s="2">
        <v>1.524E-3</v>
      </c>
      <c r="D3" s="2">
        <v>1.524E-3</v>
      </c>
      <c r="E3" s="2">
        <v>1.524E-3</v>
      </c>
      <c r="F3">
        <v>-99</v>
      </c>
    </row>
    <row r="4" spans="1:6" ht="14.5" thickBot="1" x14ac:dyDescent="0.35">
      <c r="A4" s="16" t="s">
        <v>588</v>
      </c>
      <c r="B4" s="19">
        <f>SUMIF(F:F,0,B:B)</f>
        <v>2276299.2141100001</v>
      </c>
      <c r="C4" s="21">
        <f>SUMIF(F:F,0,C:C)</f>
        <v>1.8279E-2</v>
      </c>
      <c r="D4" s="21">
        <f>SUMIF(F:F,0,D:D)</f>
        <v>1.8279E-2</v>
      </c>
      <c r="E4" s="21">
        <f>SUMIF(F:F,0,E:E)</f>
        <v>1.8279E-2</v>
      </c>
      <c r="F4">
        <v>-99</v>
      </c>
    </row>
    <row r="5" spans="1:6" x14ac:dyDescent="0.3">
      <c r="A5" t="s">
        <v>589</v>
      </c>
      <c r="B5" s="5">
        <v>42830570.62658</v>
      </c>
      <c r="C5" s="2">
        <v>0.34389999999999998</v>
      </c>
      <c r="D5" s="2">
        <v>0.34389999999999998</v>
      </c>
      <c r="E5" s="2">
        <v>0.34389999999999998</v>
      </c>
      <c r="F5">
        <v>1</v>
      </c>
    </row>
    <row r="6" spans="1:6" x14ac:dyDescent="0.3">
      <c r="A6" t="s">
        <v>590</v>
      </c>
      <c r="B6" s="5">
        <v>215452.8702</v>
      </c>
      <c r="C6" s="2">
        <v>1.7290000000000001E-3</v>
      </c>
      <c r="D6" s="2">
        <v>1.7290000000000001E-3</v>
      </c>
      <c r="E6" s="2">
        <v>1.7290000000000001E-3</v>
      </c>
      <c r="F6">
        <v>-99</v>
      </c>
    </row>
    <row r="7" spans="1:6" ht="14.5" thickBot="1" x14ac:dyDescent="0.35">
      <c r="A7" s="16" t="s">
        <v>591</v>
      </c>
      <c r="B7" s="19">
        <f>SUMIF(F:F,1,B:B)</f>
        <v>42830570.62658</v>
      </c>
      <c r="C7" s="21">
        <f>SUMIF(F:F,1,C:C)</f>
        <v>0.34389999999999998</v>
      </c>
      <c r="D7" s="21">
        <f>SUMIF(F:F,1,D:D)</f>
        <v>0.34389999999999998</v>
      </c>
      <c r="E7" s="21">
        <f>SUMIF(F:F,1,E:E)</f>
        <v>0.34389999999999998</v>
      </c>
      <c r="F7">
        <v>-99</v>
      </c>
    </row>
    <row r="8" spans="1:6" x14ac:dyDescent="0.3">
      <c r="A8" t="s">
        <v>592</v>
      </c>
      <c r="B8" s="5">
        <v>72104267.276700005</v>
      </c>
      <c r="C8" s="2">
        <v>0.57896599999999998</v>
      </c>
      <c r="D8" s="2">
        <v>0.57896599999999998</v>
      </c>
      <c r="E8" s="2">
        <v>0.57896599999999998</v>
      </c>
      <c r="F8">
        <v>2</v>
      </c>
    </row>
    <row r="9" spans="1:6" ht="14.5" thickBot="1" x14ac:dyDescent="0.35">
      <c r="A9" s="16" t="s">
        <v>593</v>
      </c>
      <c r="B9" s="19">
        <f>SUMIF(F:F,2,B:B)</f>
        <v>72104267.276700005</v>
      </c>
      <c r="C9" s="21">
        <f>SUMIF(F:F,2,C:C)</f>
        <v>0.57896599999999998</v>
      </c>
      <c r="D9" s="21">
        <f>SUMIF(F:F,2,D:D)</f>
        <v>0.57896599999999998</v>
      </c>
      <c r="E9" s="21">
        <f>SUMIF(F:F,2,E:E)</f>
        <v>0.57896599999999998</v>
      </c>
      <c r="F9">
        <v>-99</v>
      </c>
    </row>
    <row r="10" spans="1:6" x14ac:dyDescent="0.3">
      <c r="A10" t="s">
        <v>594</v>
      </c>
      <c r="B10" s="5">
        <v>6096643.07412</v>
      </c>
      <c r="C10" s="2">
        <v>4.8952000000000002E-2</v>
      </c>
      <c r="D10" s="2">
        <v>4.8952000000000002E-2</v>
      </c>
      <c r="E10" s="2">
        <v>4.8952000000000002E-2</v>
      </c>
      <c r="F10">
        <v>3</v>
      </c>
    </row>
    <row r="11" spans="1:6" ht="14.5" thickBot="1" x14ac:dyDescent="0.35">
      <c r="A11" s="16" t="s">
        <v>595</v>
      </c>
      <c r="B11" s="19">
        <f>SUMIF(F:F,3,B:B)</f>
        <v>6096643.07412</v>
      </c>
      <c r="C11" s="21">
        <f>SUMIF(F:F,3,C:C)</f>
        <v>4.8952000000000002E-2</v>
      </c>
      <c r="D11" s="21">
        <f>SUMIF(F:F,3,D:D)</f>
        <v>4.8952000000000002E-2</v>
      </c>
      <c r="E11" s="21">
        <f>SUMIF(F:F,3,E:E)</f>
        <v>4.8952000000000002E-2</v>
      </c>
      <c r="F11">
        <v>-99</v>
      </c>
    </row>
    <row r="13" spans="1:6" ht="14.5" thickBot="1" x14ac:dyDescent="0.35">
      <c r="A13" s="16" t="s">
        <v>581</v>
      </c>
      <c r="B13" s="19">
        <f>SUMIF(F:F,-99,B:B)</f>
        <v>123713035.83746</v>
      </c>
      <c r="C13" s="21">
        <f>SUMIF(F:F,-99,C:C)</f>
        <v>0.99334999999999996</v>
      </c>
      <c r="D13" s="21">
        <f>SUMIF(F:F,-99,D:D)</f>
        <v>0.99334999999999996</v>
      </c>
      <c r="E13" s="21">
        <f>SUMIF(F:F,-99,E:E)</f>
        <v>0.99334999999999996</v>
      </c>
      <c r="F13">
        <v>-44</v>
      </c>
    </row>
    <row r="15" spans="1:6" ht="14.5" thickBot="1" x14ac:dyDescent="0.35">
      <c r="A15" s="16" t="s">
        <v>584</v>
      </c>
      <c r="B15" s="19">
        <v>810108.93</v>
      </c>
      <c r="C15" s="21">
        <v>6.5100000000000002E-3</v>
      </c>
      <c r="D15" s="21">
        <v>6.5100000000000002E-3</v>
      </c>
      <c r="E15" s="21">
        <v>6.5100000000000002E-3</v>
      </c>
      <c r="F15">
        <v>-44</v>
      </c>
    </row>
    <row r="17" spans="1:6" ht="14.5" thickBot="1" x14ac:dyDescent="0.35">
      <c r="A17" s="16" t="s">
        <v>583</v>
      </c>
      <c r="B17" s="19">
        <v>7461.2342399999998</v>
      </c>
      <c r="C17" s="21">
        <v>6.0000000000000002E-5</v>
      </c>
      <c r="D17" s="21">
        <v>6.0000000000000002E-5</v>
      </c>
      <c r="E17" s="21">
        <v>6.0000000000000002E-5</v>
      </c>
      <c r="F17">
        <v>-44</v>
      </c>
    </row>
    <row r="19" spans="1:6" ht="14.5" thickBot="1" x14ac:dyDescent="0.35">
      <c r="A19" s="16" t="s">
        <v>596</v>
      </c>
      <c r="B19" s="19">
        <f>SUMIF(F:F,-44,B:B)</f>
        <v>124530606.0017</v>
      </c>
      <c r="C19" s="21">
        <f>SUMIF(F:F,-44,C:C)</f>
        <v>0.99991999999999992</v>
      </c>
      <c r="D19" s="21">
        <f>SUMIF(F:F,-44,D:D)</f>
        <v>0.99991999999999992</v>
      </c>
      <c r="E19" s="21">
        <f>SUMIF(F:F,-44,E:E)</f>
        <v>0.99991999999999992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0"/>
  <sheetViews>
    <sheetView rightToLeft="1" workbookViewId="0">
      <pane ySplit="1" topLeftCell="A248" activePane="bottomLeft" state="frozenSplit"/>
      <selection pane="bottomLeft" activeCell="N274" sqref="N274"/>
    </sheetView>
  </sheetViews>
  <sheetFormatPr defaultRowHeight="14" x14ac:dyDescent="0.3"/>
  <cols>
    <col min="1" max="1" width="6.58203125" style="41" customWidth="1"/>
    <col min="2" max="2" width="28.08203125" style="22" bestFit="1" customWidth="1"/>
    <col min="3" max="3" width="23.25" style="22" bestFit="1" customWidth="1"/>
    <col min="4" max="4" width="6.33203125" style="31" bestFit="1" customWidth="1"/>
    <col min="5" max="5" width="8.58203125" style="25" bestFit="1" customWidth="1"/>
    <col min="6" max="6" width="7.83203125" style="22" bestFit="1" customWidth="1"/>
    <col min="7" max="7" width="11.83203125" style="22" bestFit="1" customWidth="1"/>
    <col min="8" max="8" width="13" style="28" bestFit="1" customWidth="1"/>
    <col min="9" max="9" width="6.5" style="44" bestFit="1" customWidth="1"/>
    <col min="10" max="10" width="9.83203125" style="28" bestFit="1" customWidth="1"/>
    <col min="11" max="11" width="9" style="28"/>
    <col min="12" max="12" width="5.83203125" style="28" bestFit="1" customWidth="1"/>
    <col min="13" max="13" width="9" style="34"/>
    <col min="14" max="14" width="13.33203125" style="37" bestFit="1" customWidth="1"/>
    <col min="15" max="16" width="10.5" style="31" bestFit="1" customWidth="1"/>
    <col min="17" max="17" width="6.5" style="28" bestFit="1" customWidth="1"/>
    <col min="18" max="18" width="8.25" style="22" bestFit="1" customWidth="1"/>
    <col min="19" max="19" width="8.83203125" style="22" bestFit="1" customWidth="1"/>
    <col min="20" max="20" width="3.08203125" style="22" hidden="1" customWidth="1"/>
  </cols>
  <sheetData>
    <row r="1" spans="1:20" s="48" customFormat="1" ht="31.5" x14ac:dyDescent="0.25">
      <c r="A1" s="47"/>
      <c r="B1" s="48" t="s">
        <v>7</v>
      </c>
      <c r="C1" s="48" t="s">
        <v>8</v>
      </c>
      <c r="D1" s="49" t="s">
        <v>9</v>
      </c>
      <c r="E1" s="50" t="s">
        <v>10</v>
      </c>
      <c r="F1" s="48" t="s">
        <v>11</v>
      </c>
      <c r="G1" s="48" t="s">
        <v>12</v>
      </c>
      <c r="H1" s="51" t="s">
        <v>13</v>
      </c>
      <c r="I1" s="51" t="s">
        <v>14</v>
      </c>
      <c r="J1" s="51" t="s">
        <v>15</v>
      </c>
      <c r="K1" s="51" t="s">
        <v>16</v>
      </c>
      <c r="L1" s="51" t="s">
        <v>17</v>
      </c>
      <c r="M1" s="52" t="s">
        <v>18</v>
      </c>
      <c r="N1" s="53" t="s">
        <v>19</v>
      </c>
      <c r="O1" s="49" t="s">
        <v>20</v>
      </c>
      <c r="P1" s="49" t="s">
        <v>20</v>
      </c>
      <c r="Q1" s="51" t="s">
        <v>21</v>
      </c>
      <c r="R1" s="48" t="s">
        <v>22</v>
      </c>
      <c r="S1" s="48" t="s">
        <v>23</v>
      </c>
    </row>
    <row r="2" spans="1:20" ht="18" x14ac:dyDescent="0.4">
      <c r="A2" s="40" t="s">
        <v>597</v>
      </c>
    </row>
    <row r="3" spans="1:20" ht="18" x14ac:dyDescent="0.4">
      <c r="A3" s="40" t="s">
        <v>29</v>
      </c>
    </row>
    <row r="4" spans="1:20" x14ac:dyDescent="0.3">
      <c r="B4" s="22" t="s">
        <v>30</v>
      </c>
      <c r="C4" s="22" t="s">
        <v>31</v>
      </c>
      <c r="D4" s="31">
        <v>2.75E-2</v>
      </c>
      <c r="E4" s="25">
        <v>46385</v>
      </c>
      <c r="F4" s="22">
        <v>1181676</v>
      </c>
      <c r="G4" s="22">
        <v>1181676</v>
      </c>
      <c r="I4" s="44" t="s">
        <v>32</v>
      </c>
      <c r="J4" s="28">
        <v>96623.4</v>
      </c>
      <c r="K4" s="28">
        <v>0</v>
      </c>
      <c r="L4" s="28" t="s">
        <v>33</v>
      </c>
      <c r="M4" s="34">
        <v>100.3</v>
      </c>
      <c r="N4" s="37">
        <v>96913.270199999999</v>
      </c>
      <c r="O4" s="31">
        <v>7.7800000000000005E-4</v>
      </c>
      <c r="P4" s="31">
        <v>7.7800000000000005E-4</v>
      </c>
      <c r="Q4" s="28">
        <v>1</v>
      </c>
      <c r="R4" s="22" t="s">
        <v>34</v>
      </c>
      <c r="S4" s="22" t="s">
        <v>35</v>
      </c>
      <c r="T4" s="22">
        <v>0</v>
      </c>
    </row>
    <row r="5" spans="1:20" ht="14.5" thickBot="1" x14ac:dyDescent="0.35">
      <c r="A5" s="42" t="s">
        <v>598</v>
      </c>
      <c r="B5" s="23"/>
      <c r="C5" s="23"/>
      <c r="D5" s="32"/>
      <c r="E5" s="26"/>
      <c r="F5" s="23"/>
      <c r="G5" s="23"/>
      <c r="H5" s="29"/>
      <c r="I5" s="45"/>
      <c r="J5" s="29"/>
      <c r="K5" s="29"/>
      <c r="L5" s="29"/>
      <c r="M5" s="35"/>
      <c r="N5" s="38">
        <f>SUM(N4:N4)</f>
        <v>96913.270199999999</v>
      </c>
      <c r="O5" s="32">
        <f>SUM(O4:O4)</f>
        <v>7.7800000000000005E-4</v>
      </c>
      <c r="P5" s="32">
        <f>SUM(P4:P4)</f>
        <v>7.7800000000000005E-4</v>
      </c>
      <c r="Q5" s="29"/>
      <c r="R5" s="23"/>
      <c r="S5" s="23"/>
    </row>
    <row r="6" spans="1:20" ht="18" x14ac:dyDescent="0.4">
      <c r="A6" s="40" t="s">
        <v>36</v>
      </c>
    </row>
    <row r="7" spans="1:20" x14ac:dyDescent="0.3">
      <c r="B7" s="22" t="s">
        <v>37</v>
      </c>
      <c r="C7" s="22" t="s">
        <v>38</v>
      </c>
      <c r="D7" s="31">
        <v>4.8500000000000001E-2</v>
      </c>
      <c r="E7" s="25">
        <v>46934</v>
      </c>
      <c r="F7" s="22">
        <v>1197128</v>
      </c>
      <c r="G7" s="22">
        <v>1197128</v>
      </c>
      <c r="I7" s="44" t="s">
        <v>32</v>
      </c>
      <c r="J7" s="28">
        <v>103800</v>
      </c>
      <c r="K7" s="28">
        <v>0</v>
      </c>
      <c r="L7" s="28" t="s">
        <v>33</v>
      </c>
      <c r="M7" s="34">
        <v>114.2</v>
      </c>
      <c r="N7" s="37">
        <v>118539.6</v>
      </c>
      <c r="O7" s="31">
        <v>9.5100000000000002E-4</v>
      </c>
      <c r="P7" s="31">
        <v>9.5100000000000002E-4</v>
      </c>
      <c r="Q7" s="28">
        <v>1</v>
      </c>
      <c r="R7" s="22" t="s">
        <v>39</v>
      </c>
      <c r="S7" s="22" t="s">
        <v>35</v>
      </c>
      <c r="T7" s="22">
        <v>0</v>
      </c>
    </row>
    <row r="8" spans="1:20" ht="14.5" thickBot="1" x14ac:dyDescent="0.35">
      <c r="A8" s="43" t="s">
        <v>599</v>
      </c>
      <c r="B8" s="24"/>
      <c r="C8" s="24"/>
      <c r="D8" s="33"/>
      <c r="E8" s="27"/>
      <c r="F8" s="24"/>
      <c r="G8" s="24"/>
      <c r="H8" s="30"/>
      <c r="I8" s="46"/>
      <c r="J8" s="30"/>
      <c r="K8" s="30"/>
      <c r="L8" s="30"/>
      <c r="M8" s="36"/>
      <c r="N8" s="39">
        <f>SUM(N7:N7)</f>
        <v>118539.6</v>
      </c>
      <c r="O8" s="33">
        <f>SUM(O7:O7)</f>
        <v>9.5100000000000002E-4</v>
      </c>
      <c r="P8" s="33">
        <f>SUM(P7:P7)</f>
        <v>9.5100000000000002E-4</v>
      </c>
      <c r="Q8" s="30"/>
      <c r="R8" s="24"/>
      <c r="S8" s="24"/>
    </row>
    <row r="9" spans="1:20" x14ac:dyDescent="0.3">
      <c r="A9" s="41" t="s">
        <v>600</v>
      </c>
      <c r="N9" s="37">
        <f>SUMIF(T:T,0,N:N)</f>
        <v>215452.8702</v>
      </c>
      <c r="O9" s="31">
        <f>SUMIF(T:T,0,O:O)</f>
        <v>1.7290000000000001E-3</v>
      </c>
      <c r="P9" s="31">
        <f>SUMIF(T:T,0,P:P)</f>
        <v>1.7290000000000001E-3</v>
      </c>
      <c r="T9" s="22">
        <v>-99</v>
      </c>
    </row>
    <row r="10" spans="1:20" ht="18" x14ac:dyDescent="0.4">
      <c r="A10" s="40" t="s">
        <v>601</v>
      </c>
    </row>
    <row r="11" spans="1:20" ht="18" x14ac:dyDescent="0.4">
      <c r="A11" s="40" t="s">
        <v>41</v>
      </c>
    </row>
    <row r="12" spans="1:20" x14ac:dyDescent="0.3">
      <c r="B12" s="22" t="s">
        <v>42</v>
      </c>
      <c r="C12" s="22" t="s">
        <v>43</v>
      </c>
      <c r="D12" s="31">
        <v>8.9499999999999996E-2</v>
      </c>
      <c r="E12" s="25">
        <v>46203</v>
      </c>
      <c r="F12" s="22">
        <v>1187277</v>
      </c>
      <c r="G12" s="22">
        <v>1187277</v>
      </c>
      <c r="I12" s="44" t="s">
        <v>32</v>
      </c>
      <c r="J12" s="28">
        <v>410149.24</v>
      </c>
      <c r="K12" s="28">
        <v>0</v>
      </c>
      <c r="L12" s="28" t="s">
        <v>33</v>
      </c>
      <c r="M12" s="34">
        <v>101.66</v>
      </c>
      <c r="N12" s="37">
        <v>416957.71737999999</v>
      </c>
      <c r="O12" s="31">
        <v>3.3479999999999998E-3</v>
      </c>
      <c r="P12" s="31">
        <v>3.3479999999999998E-3</v>
      </c>
      <c r="Q12" s="28">
        <v>1</v>
      </c>
      <c r="R12" s="22" t="s">
        <v>44</v>
      </c>
      <c r="S12" s="22" t="s">
        <v>35</v>
      </c>
      <c r="T12" s="22">
        <v>1</v>
      </c>
    </row>
    <row r="13" spans="1:20" x14ac:dyDescent="0.3">
      <c r="B13" s="22" t="s">
        <v>45</v>
      </c>
      <c r="C13" s="22" t="s">
        <v>46</v>
      </c>
      <c r="D13" s="31">
        <v>6.4000000000000001E-2</v>
      </c>
      <c r="E13" s="25">
        <v>46295</v>
      </c>
      <c r="F13" s="22">
        <v>1185883</v>
      </c>
      <c r="G13" s="22">
        <v>1185883</v>
      </c>
      <c r="I13" s="44" t="s">
        <v>32</v>
      </c>
      <c r="J13" s="28">
        <v>242142.23</v>
      </c>
      <c r="K13" s="28">
        <v>0</v>
      </c>
      <c r="L13" s="28" t="s">
        <v>33</v>
      </c>
      <c r="M13" s="34">
        <v>102.7</v>
      </c>
      <c r="N13" s="37">
        <v>248680.07021000001</v>
      </c>
      <c r="O13" s="31">
        <v>1.9959999999999999E-3</v>
      </c>
      <c r="P13" s="31">
        <v>1.9959999999999999E-3</v>
      </c>
      <c r="Q13" s="28">
        <v>1</v>
      </c>
      <c r="R13" s="22" t="s">
        <v>47</v>
      </c>
      <c r="S13" s="22" t="s">
        <v>35</v>
      </c>
      <c r="T13" s="22">
        <v>1</v>
      </c>
    </row>
    <row r="14" spans="1:20" x14ac:dyDescent="0.3">
      <c r="B14" s="22" t="s">
        <v>48</v>
      </c>
      <c r="C14" s="22" t="s">
        <v>49</v>
      </c>
      <c r="D14" s="31">
        <v>5.28E-2</v>
      </c>
      <c r="E14" s="25">
        <v>46965</v>
      </c>
      <c r="F14" s="22">
        <v>7670250</v>
      </c>
      <c r="G14" s="22">
        <v>7670250</v>
      </c>
      <c r="I14" s="44" t="s">
        <v>32</v>
      </c>
      <c r="J14" s="28">
        <v>191278.75</v>
      </c>
      <c r="K14" s="28">
        <v>0</v>
      </c>
      <c r="L14" s="28" t="s">
        <v>33</v>
      </c>
      <c r="M14" s="34">
        <v>101.52</v>
      </c>
      <c r="N14" s="37">
        <v>194186.18700000001</v>
      </c>
      <c r="O14" s="31">
        <v>1.5590000000000001E-3</v>
      </c>
      <c r="P14" s="31">
        <v>1.5590000000000001E-3</v>
      </c>
      <c r="Q14" s="28">
        <v>1</v>
      </c>
      <c r="R14" s="22" t="s">
        <v>50</v>
      </c>
      <c r="S14" s="22" t="s">
        <v>35</v>
      </c>
      <c r="T14" s="22">
        <v>1</v>
      </c>
    </row>
    <row r="15" spans="1:20" ht="14.5" thickBot="1" x14ac:dyDescent="0.35">
      <c r="A15" s="42" t="s">
        <v>602</v>
      </c>
      <c r="B15" s="23"/>
      <c r="C15" s="23"/>
      <c r="D15" s="32"/>
      <c r="E15" s="26"/>
      <c r="F15" s="23"/>
      <c r="G15" s="23"/>
      <c r="H15" s="29"/>
      <c r="I15" s="45"/>
      <c r="J15" s="29"/>
      <c r="K15" s="29"/>
      <c r="L15" s="29"/>
      <c r="M15" s="35"/>
      <c r="N15" s="38">
        <f>SUM(N12:N14)</f>
        <v>859823.97459</v>
      </c>
      <c r="O15" s="32">
        <f>SUM(O12:O14)</f>
        <v>6.9029999999999994E-3</v>
      </c>
      <c r="P15" s="32">
        <f>SUM(P12:P14)</f>
        <v>6.9029999999999994E-3</v>
      </c>
      <c r="Q15" s="29"/>
      <c r="R15" s="23"/>
      <c r="S15" s="23"/>
    </row>
    <row r="16" spans="1:20" ht="18" x14ac:dyDescent="0.4">
      <c r="A16" s="40" t="s">
        <v>51</v>
      </c>
    </row>
    <row r="17" spans="1:20" x14ac:dyDescent="0.3">
      <c r="B17" s="22" t="s">
        <v>52</v>
      </c>
      <c r="C17" s="22" t="s">
        <v>53</v>
      </c>
      <c r="D17" s="31">
        <v>4.5699999999999998E-2</v>
      </c>
      <c r="E17" s="25">
        <v>46127</v>
      </c>
      <c r="F17" s="22">
        <v>1162304</v>
      </c>
      <c r="G17" s="22">
        <v>1162304</v>
      </c>
      <c r="I17" s="44" t="s">
        <v>32</v>
      </c>
      <c r="J17" s="28">
        <v>731185</v>
      </c>
      <c r="K17" s="28">
        <v>0</v>
      </c>
      <c r="L17" s="28" t="s">
        <v>33</v>
      </c>
      <c r="M17" s="34">
        <v>90.92</v>
      </c>
      <c r="N17" s="37">
        <v>664793.402</v>
      </c>
      <c r="O17" s="31">
        <v>5.3379999999999999E-3</v>
      </c>
      <c r="P17" s="31">
        <v>5.3379999999999999E-3</v>
      </c>
      <c r="Q17" s="28">
        <v>1</v>
      </c>
      <c r="R17" s="22" t="s">
        <v>54</v>
      </c>
      <c r="S17" s="22" t="s">
        <v>35</v>
      </c>
      <c r="T17" s="22">
        <v>1</v>
      </c>
    </row>
    <row r="18" spans="1:20" ht="14.5" thickBot="1" x14ac:dyDescent="0.35">
      <c r="A18" s="42" t="s">
        <v>603</v>
      </c>
      <c r="B18" s="23"/>
      <c r="C18" s="23"/>
      <c r="D18" s="32"/>
      <c r="E18" s="26"/>
      <c r="F18" s="23"/>
      <c r="G18" s="23"/>
      <c r="H18" s="29"/>
      <c r="I18" s="45"/>
      <c r="J18" s="29"/>
      <c r="K18" s="29"/>
      <c r="L18" s="29"/>
      <c r="M18" s="35"/>
      <c r="N18" s="38">
        <f>SUM(N17:N17)</f>
        <v>664793.402</v>
      </c>
      <c r="O18" s="32">
        <f>SUM(O17:O17)</f>
        <v>5.3379999999999999E-3</v>
      </c>
      <c r="P18" s="32">
        <f>SUM(P17:P17)</f>
        <v>5.3379999999999999E-3</v>
      </c>
      <c r="Q18" s="29"/>
      <c r="R18" s="23"/>
      <c r="S18" s="23"/>
    </row>
    <row r="19" spans="1:20" ht="18" x14ac:dyDescent="0.4">
      <c r="A19" s="40" t="s">
        <v>55</v>
      </c>
    </row>
    <row r="20" spans="1:20" x14ac:dyDescent="0.3">
      <c r="B20" s="22" t="s">
        <v>56</v>
      </c>
      <c r="C20" s="22" t="s">
        <v>57</v>
      </c>
      <c r="D20" s="31">
        <v>5.6899999999999999E-2</v>
      </c>
      <c r="E20" s="25">
        <v>48760</v>
      </c>
      <c r="F20" s="22">
        <v>1217389</v>
      </c>
      <c r="G20" s="22">
        <v>1217389</v>
      </c>
      <c r="I20" s="44" t="s">
        <v>32</v>
      </c>
      <c r="J20" s="28">
        <v>258347</v>
      </c>
      <c r="K20" s="28">
        <v>0</v>
      </c>
      <c r="L20" s="28" t="s">
        <v>33</v>
      </c>
      <c r="M20" s="34">
        <v>105.87</v>
      </c>
      <c r="N20" s="37">
        <v>273511.96889999998</v>
      </c>
      <c r="O20" s="31">
        <v>2.196E-3</v>
      </c>
      <c r="P20" s="31">
        <v>2.196E-3</v>
      </c>
      <c r="Q20" s="28">
        <v>1</v>
      </c>
      <c r="R20" s="22" t="s">
        <v>58</v>
      </c>
      <c r="S20" s="22" t="s">
        <v>35</v>
      </c>
      <c r="T20" s="22">
        <v>1</v>
      </c>
    </row>
    <row r="21" spans="1:20" x14ac:dyDescent="0.3">
      <c r="B21" s="22" t="s">
        <v>59</v>
      </c>
      <c r="C21" s="22" t="s">
        <v>60</v>
      </c>
      <c r="D21" s="31">
        <v>2.5000000000000001E-2</v>
      </c>
      <c r="E21" s="25">
        <v>46757</v>
      </c>
      <c r="F21" s="22">
        <v>1143080</v>
      </c>
      <c r="G21" s="22">
        <v>1143080</v>
      </c>
      <c r="I21" s="44" t="s">
        <v>32</v>
      </c>
      <c r="J21" s="28">
        <v>0.1</v>
      </c>
      <c r="K21" s="28">
        <v>0</v>
      </c>
      <c r="L21" s="28" t="s">
        <v>33</v>
      </c>
      <c r="M21" s="34">
        <v>98.04</v>
      </c>
      <c r="N21" s="37">
        <v>9.8040000000000002E-2</v>
      </c>
      <c r="O21" s="31">
        <v>0</v>
      </c>
      <c r="P21" s="31">
        <v>0</v>
      </c>
      <c r="Q21" s="28">
        <v>1</v>
      </c>
      <c r="R21" s="22" t="s">
        <v>61</v>
      </c>
      <c r="S21" s="22" t="s">
        <v>35</v>
      </c>
      <c r="T21" s="22">
        <v>1</v>
      </c>
    </row>
    <row r="22" spans="1:20" x14ac:dyDescent="0.3">
      <c r="B22" s="22" t="s">
        <v>62</v>
      </c>
      <c r="C22" s="22" t="s">
        <v>63</v>
      </c>
      <c r="D22" s="31">
        <v>7.4999999999999997E-2</v>
      </c>
      <c r="E22" s="25">
        <v>47573</v>
      </c>
      <c r="F22" s="22">
        <v>1204718</v>
      </c>
      <c r="G22" s="22">
        <v>1204718</v>
      </c>
      <c r="I22" s="44" t="s">
        <v>32</v>
      </c>
      <c r="J22" s="28">
        <v>311052</v>
      </c>
      <c r="K22" s="28">
        <v>0</v>
      </c>
      <c r="L22" s="28" t="s">
        <v>33</v>
      </c>
      <c r="M22" s="34">
        <v>98.09</v>
      </c>
      <c r="N22" s="37">
        <v>305110.9068</v>
      </c>
      <c r="O22" s="31">
        <v>2.4499999999999999E-3</v>
      </c>
      <c r="P22" s="31">
        <v>2.4499999999999999E-3</v>
      </c>
      <c r="Q22" s="28">
        <v>1</v>
      </c>
      <c r="R22" s="22" t="s">
        <v>64</v>
      </c>
      <c r="S22" s="22" t="s">
        <v>35</v>
      </c>
      <c r="T22" s="22">
        <v>1</v>
      </c>
    </row>
    <row r="23" spans="1:20" x14ac:dyDescent="0.3">
      <c r="B23" s="22" t="s">
        <v>65</v>
      </c>
      <c r="C23" s="22" t="s">
        <v>66</v>
      </c>
      <c r="D23" s="31">
        <v>8.8999999999999996E-2</v>
      </c>
      <c r="E23" s="25">
        <v>46387</v>
      </c>
      <c r="F23" s="22">
        <v>1198175</v>
      </c>
      <c r="G23" s="22">
        <v>1198175</v>
      </c>
      <c r="I23" s="44" t="s">
        <v>32</v>
      </c>
      <c r="J23" s="28">
        <v>221465.48</v>
      </c>
      <c r="K23" s="28">
        <v>0</v>
      </c>
      <c r="L23" s="28" t="s">
        <v>33</v>
      </c>
      <c r="M23" s="34">
        <v>103</v>
      </c>
      <c r="N23" s="37">
        <v>228109.44440000001</v>
      </c>
      <c r="O23" s="31">
        <v>1.8309999999999999E-3</v>
      </c>
      <c r="P23" s="31">
        <v>1.8309999999999999E-3</v>
      </c>
      <c r="Q23" s="28">
        <v>1</v>
      </c>
      <c r="R23" s="22" t="s">
        <v>67</v>
      </c>
      <c r="S23" s="22" t="s">
        <v>35</v>
      </c>
      <c r="T23" s="22">
        <v>1</v>
      </c>
    </row>
    <row r="24" spans="1:20" x14ac:dyDescent="0.3">
      <c r="B24" s="22" t="s">
        <v>68</v>
      </c>
      <c r="C24" s="22" t="s">
        <v>69</v>
      </c>
      <c r="D24" s="31">
        <v>5.5E-2</v>
      </c>
      <c r="E24" s="25">
        <v>47573</v>
      </c>
      <c r="F24" s="22">
        <v>1203074</v>
      </c>
      <c r="G24" s="22">
        <v>1203074</v>
      </c>
      <c r="I24" s="44" t="s">
        <v>32</v>
      </c>
      <c r="J24" s="28">
        <v>262199</v>
      </c>
      <c r="K24" s="28">
        <v>0</v>
      </c>
      <c r="L24" s="28" t="s">
        <v>33</v>
      </c>
      <c r="M24" s="34">
        <v>101.65</v>
      </c>
      <c r="N24" s="37">
        <v>266525.28350000002</v>
      </c>
      <c r="O24" s="31">
        <v>2.14E-3</v>
      </c>
      <c r="P24" s="31">
        <v>2.14E-3</v>
      </c>
      <c r="Q24" s="28">
        <v>1</v>
      </c>
      <c r="R24" s="22" t="s">
        <v>70</v>
      </c>
      <c r="S24" s="22" t="s">
        <v>35</v>
      </c>
      <c r="T24" s="22">
        <v>1</v>
      </c>
    </row>
    <row r="25" spans="1:20" x14ac:dyDescent="0.3">
      <c r="B25" s="22" t="s">
        <v>71</v>
      </c>
      <c r="C25" s="22" t="s">
        <v>72</v>
      </c>
      <c r="D25" s="31">
        <v>1.4999999999999999E-2</v>
      </c>
      <c r="E25" s="25">
        <v>47363</v>
      </c>
      <c r="F25" s="22">
        <v>7200256</v>
      </c>
      <c r="G25" s="22">
        <v>7200256</v>
      </c>
      <c r="I25" s="44" t="s">
        <v>32</v>
      </c>
      <c r="J25" s="28">
        <v>355810</v>
      </c>
      <c r="K25" s="28">
        <v>0</v>
      </c>
      <c r="L25" s="28" t="s">
        <v>33</v>
      </c>
      <c r="M25" s="34">
        <v>93.08</v>
      </c>
      <c r="N25" s="37">
        <v>331187.94799999997</v>
      </c>
      <c r="O25" s="31">
        <v>2.6589999999999999E-3</v>
      </c>
      <c r="P25" s="31">
        <v>2.6589999999999999E-3</v>
      </c>
      <c r="Q25" s="28">
        <v>1</v>
      </c>
      <c r="R25" s="22" t="s">
        <v>73</v>
      </c>
      <c r="S25" s="22" t="s">
        <v>35</v>
      </c>
      <c r="T25" s="22">
        <v>1</v>
      </c>
    </row>
    <row r="26" spans="1:20" x14ac:dyDescent="0.3">
      <c r="B26" s="22" t="s">
        <v>74</v>
      </c>
      <c r="C26" s="22" t="s">
        <v>72</v>
      </c>
      <c r="D26" s="31">
        <v>3.4500000000000003E-2</v>
      </c>
      <c r="E26" s="25">
        <v>46266</v>
      </c>
      <c r="F26" s="22">
        <v>7200173</v>
      </c>
      <c r="G26" s="22">
        <v>7200173</v>
      </c>
      <c r="I26" s="44" t="s">
        <v>32</v>
      </c>
      <c r="J26" s="28">
        <v>112427.21</v>
      </c>
      <c r="K26" s="28">
        <v>0</v>
      </c>
      <c r="L26" s="28" t="s">
        <v>33</v>
      </c>
      <c r="M26" s="34">
        <v>99.27</v>
      </c>
      <c r="N26" s="37">
        <v>111606.49137</v>
      </c>
      <c r="O26" s="31">
        <v>8.9599999999999999E-4</v>
      </c>
      <c r="P26" s="31">
        <v>8.9599999999999999E-4</v>
      </c>
      <c r="Q26" s="28">
        <v>1</v>
      </c>
      <c r="R26" s="22" t="s">
        <v>75</v>
      </c>
      <c r="S26" s="22" t="s">
        <v>35</v>
      </c>
      <c r="T26" s="22">
        <v>1</v>
      </c>
    </row>
    <row r="27" spans="1:20" x14ac:dyDescent="0.3">
      <c r="B27" s="22" t="s">
        <v>76</v>
      </c>
      <c r="C27" s="22" t="s">
        <v>77</v>
      </c>
      <c r="D27" s="31">
        <v>2.0500000000000001E-2</v>
      </c>
      <c r="E27" s="25">
        <v>47696</v>
      </c>
      <c r="F27" s="22">
        <v>1161751</v>
      </c>
      <c r="G27" s="22">
        <v>1161751</v>
      </c>
      <c r="I27" s="44" t="s">
        <v>32</v>
      </c>
      <c r="J27" s="28">
        <v>300602.90000000002</v>
      </c>
      <c r="K27" s="28">
        <v>0</v>
      </c>
      <c r="L27" s="28" t="s">
        <v>33</v>
      </c>
      <c r="M27" s="34">
        <v>94.64</v>
      </c>
      <c r="N27" s="37">
        <v>284490.58455999999</v>
      </c>
      <c r="O27" s="31">
        <v>2.284E-3</v>
      </c>
      <c r="P27" s="31">
        <v>2.284E-3</v>
      </c>
      <c r="Q27" s="28">
        <v>1</v>
      </c>
      <c r="R27" s="22" t="s">
        <v>78</v>
      </c>
      <c r="S27" s="22" t="s">
        <v>35</v>
      </c>
      <c r="T27" s="22">
        <v>1</v>
      </c>
    </row>
    <row r="28" spans="1:20" x14ac:dyDescent="0.3">
      <c r="B28" s="22" t="s">
        <v>79</v>
      </c>
      <c r="C28" s="22" t="s">
        <v>80</v>
      </c>
      <c r="D28" s="31">
        <v>1.0800000000000001E-2</v>
      </c>
      <c r="E28" s="25">
        <v>47300</v>
      </c>
      <c r="F28" s="22">
        <v>1178235</v>
      </c>
      <c r="G28" s="22">
        <v>1178235</v>
      </c>
      <c r="I28" s="44" t="s">
        <v>32</v>
      </c>
      <c r="J28" s="28">
        <v>150455.79999999999</v>
      </c>
      <c r="K28" s="28">
        <v>0</v>
      </c>
      <c r="L28" s="28" t="s">
        <v>33</v>
      </c>
      <c r="M28" s="34">
        <v>95.43</v>
      </c>
      <c r="N28" s="37">
        <v>143579.96994000001</v>
      </c>
      <c r="O28" s="31">
        <v>1.152E-3</v>
      </c>
      <c r="P28" s="31">
        <v>1.152E-3</v>
      </c>
      <c r="Q28" s="28">
        <v>1</v>
      </c>
      <c r="R28" s="22" t="s">
        <v>81</v>
      </c>
      <c r="S28" s="22" t="s">
        <v>35</v>
      </c>
      <c r="T28" s="22">
        <v>1</v>
      </c>
    </row>
    <row r="29" spans="1:20" x14ac:dyDescent="0.3">
      <c r="B29" s="22" t="s">
        <v>82</v>
      </c>
      <c r="C29" s="22" t="s">
        <v>83</v>
      </c>
      <c r="D29" s="31">
        <v>2.8000000000000001E-2</v>
      </c>
      <c r="E29" s="25">
        <v>46386</v>
      </c>
      <c r="F29" s="22">
        <v>1161678</v>
      </c>
      <c r="G29" s="22">
        <v>1161678</v>
      </c>
      <c r="I29" s="44" t="s">
        <v>32</v>
      </c>
      <c r="J29" s="28">
        <v>178623.02</v>
      </c>
      <c r="K29" s="28">
        <v>0</v>
      </c>
      <c r="L29" s="28" t="s">
        <v>33</v>
      </c>
      <c r="M29" s="34">
        <v>98.88</v>
      </c>
      <c r="N29" s="37">
        <v>176622.44218000001</v>
      </c>
      <c r="O29" s="31">
        <v>1.418E-3</v>
      </c>
      <c r="P29" s="31">
        <v>1.418E-3</v>
      </c>
      <c r="Q29" s="28">
        <v>1</v>
      </c>
      <c r="R29" s="22" t="s">
        <v>84</v>
      </c>
      <c r="S29" s="22" t="s">
        <v>35</v>
      </c>
      <c r="T29" s="22">
        <v>1</v>
      </c>
    </row>
    <row r="30" spans="1:20" x14ac:dyDescent="0.3">
      <c r="B30" s="22" t="s">
        <v>85</v>
      </c>
      <c r="C30" s="22" t="s">
        <v>86</v>
      </c>
      <c r="D30" s="31">
        <v>5.0299999999999997E-2</v>
      </c>
      <c r="E30" s="25">
        <v>48203</v>
      </c>
      <c r="F30" s="22">
        <v>1224690</v>
      </c>
      <c r="G30" s="22">
        <v>1224690</v>
      </c>
      <c r="I30" s="44" t="s">
        <v>32</v>
      </c>
      <c r="J30" s="28">
        <v>150000</v>
      </c>
      <c r="K30" s="28">
        <v>0</v>
      </c>
      <c r="L30" s="28" t="s">
        <v>33</v>
      </c>
      <c r="M30" s="34">
        <v>103.02</v>
      </c>
      <c r="N30" s="37">
        <v>154530</v>
      </c>
      <c r="O30" s="31">
        <v>1.24E-3</v>
      </c>
      <c r="P30" s="31">
        <v>1.24E-3</v>
      </c>
      <c r="Q30" s="28">
        <v>1</v>
      </c>
      <c r="R30" s="22" t="s">
        <v>87</v>
      </c>
      <c r="S30" s="22" t="s">
        <v>35</v>
      </c>
      <c r="T30" s="22">
        <v>1</v>
      </c>
    </row>
    <row r="31" spans="1:20" x14ac:dyDescent="0.3">
      <c r="B31" s="22" t="s">
        <v>88</v>
      </c>
      <c r="C31" s="22" t="s">
        <v>89</v>
      </c>
      <c r="D31" s="31">
        <v>2.6499999999999999E-2</v>
      </c>
      <c r="E31" s="25">
        <v>46629</v>
      </c>
      <c r="F31" s="22">
        <v>1141852</v>
      </c>
      <c r="G31" s="22">
        <v>1141852</v>
      </c>
      <c r="I31" s="44" t="s">
        <v>32</v>
      </c>
      <c r="J31" s="28">
        <v>337979.46</v>
      </c>
      <c r="K31" s="28">
        <v>0</v>
      </c>
      <c r="L31" s="28" t="s">
        <v>33</v>
      </c>
      <c r="M31" s="34">
        <v>98.03</v>
      </c>
      <c r="N31" s="37">
        <v>331321.26464000001</v>
      </c>
      <c r="O31" s="31">
        <v>2.66E-3</v>
      </c>
      <c r="P31" s="31">
        <v>2.66E-3</v>
      </c>
      <c r="Q31" s="28">
        <v>1</v>
      </c>
      <c r="R31" s="22" t="s">
        <v>90</v>
      </c>
      <c r="S31" s="22" t="s">
        <v>35</v>
      </c>
      <c r="T31" s="22">
        <v>1</v>
      </c>
    </row>
    <row r="32" spans="1:20" x14ac:dyDescent="0.3">
      <c r="B32" s="22" t="s">
        <v>91</v>
      </c>
      <c r="C32" s="22" t="s">
        <v>92</v>
      </c>
      <c r="D32" s="31">
        <v>4.19E-2</v>
      </c>
      <c r="E32" s="25">
        <v>46568</v>
      </c>
      <c r="F32" s="22">
        <v>7710262</v>
      </c>
      <c r="G32" s="22">
        <v>7710262</v>
      </c>
      <c r="I32" s="44" t="s">
        <v>32</v>
      </c>
      <c r="J32" s="28">
        <v>2209715.0699999998</v>
      </c>
      <c r="K32" s="28">
        <v>0</v>
      </c>
      <c r="L32" s="28" t="s">
        <v>33</v>
      </c>
      <c r="M32" s="34">
        <v>97.88</v>
      </c>
      <c r="N32" s="37">
        <v>2162869.1105200001</v>
      </c>
      <c r="O32" s="31">
        <v>1.7368000000000001E-2</v>
      </c>
      <c r="P32" s="31">
        <v>1.7368000000000001E-2</v>
      </c>
      <c r="Q32" s="28">
        <v>1</v>
      </c>
      <c r="R32" s="22" t="s">
        <v>93</v>
      </c>
      <c r="S32" s="22" t="s">
        <v>35</v>
      </c>
      <c r="T32" s="22">
        <v>1</v>
      </c>
    </row>
    <row r="33" spans="2:20" x14ac:dyDescent="0.3">
      <c r="B33" s="22" t="s">
        <v>94</v>
      </c>
      <c r="C33" s="22" t="s">
        <v>92</v>
      </c>
      <c r="D33" s="31">
        <v>6.25E-2</v>
      </c>
      <c r="E33" s="25">
        <v>46568</v>
      </c>
      <c r="F33" s="22">
        <v>7710296</v>
      </c>
      <c r="G33" s="22">
        <v>7710296</v>
      </c>
      <c r="I33" s="44" t="s">
        <v>32</v>
      </c>
      <c r="J33" s="28">
        <v>154716.34</v>
      </c>
      <c r="K33" s="28">
        <v>0</v>
      </c>
      <c r="L33" s="28" t="s">
        <v>33</v>
      </c>
      <c r="M33" s="34">
        <v>99.18</v>
      </c>
      <c r="N33" s="37">
        <v>153447.66600999999</v>
      </c>
      <c r="O33" s="31">
        <v>1.232E-3</v>
      </c>
      <c r="P33" s="31">
        <v>1.232E-3</v>
      </c>
      <c r="Q33" s="28">
        <v>1</v>
      </c>
      <c r="R33" s="22" t="s">
        <v>95</v>
      </c>
      <c r="S33" s="22" t="s">
        <v>35</v>
      </c>
      <c r="T33" s="22">
        <v>1</v>
      </c>
    </row>
    <row r="34" spans="2:20" x14ac:dyDescent="0.3">
      <c r="B34" s="22" t="s">
        <v>96</v>
      </c>
      <c r="C34" s="22" t="s">
        <v>97</v>
      </c>
      <c r="D34" s="31">
        <v>9.1399999999999995E-2</v>
      </c>
      <c r="E34" s="25">
        <v>46477</v>
      </c>
      <c r="F34" s="22">
        <v>1208933</v>
      </c>
      <c r="G34" s="22">
        <v>1208933</v>
      </c>
      <c r="I34" s="44" t="s">
        <v>32</v>
      </c>
      <c r="J34" s="28">
        <v>303154.2</v>
      </c>
      <c r="K34" s="28">
        <v>0</v>
      </c>
      <c r="L34" s="28" t="s">
        <v>33</v>
      </c>
      <c r="M34" s="34">
        <v>104.81</v>
      </c>
      <c r="N34" s="37">
        <v>317735.91701999999</v>
      </c>
      <c r="O34" s="31">
        <v>2.5509999999999999E-3</v>
      </c>
      <c r="P34" s="31">
        <v>2.5509999999999999E-3</v>
      </c>
      <c r="Q34" s="28">
        <v>1</v>
      </c>
      <c r="R34" s="22" t="s">
        <v>98</v>
      </c>
      <c r="S34" s="22" t="s">
        <v>35</v>
      </c>
      <c r="T34" s="22">
        <v>1</v>
      </c>
    </row>
    <row r="35" spans="2:20" x14ac:dyDescent="0.3">
      <c r="B35" s="22" t="s">
        <v>99</v>
      </c>
      <c r="C35" s="22" t="s">
        <v>97</v>
      </c>
      <c r="D35" s="31">
        <v>9.5299999999999996E-2</v>
      </c>
      <c r="E35" s="25">
        <v>47300</v>
      </c>
      <c r="F35" s="22">
        <v>1227305</v>
      </c>
      <c r="G35" s="22">
        <v>1227305</v>
      </c>
      <c r="I35" s="44" t="s">
        <v>32</v>
      </c>
      <c r="J35" s="28">
        <v>436460</v>
      </c>
      <c r="K35" s="28">
        <v>0</v>
      </c>
      <c r="L35" s="28" t="s">
        <v>33</v>
      </c>
      <c r="M35" s="34">
        <v>101.65</v>
      </c>
      <c r="N35" s="37">
        <v>443661.59</v>
      </c>
      <c r="O35" s="31">
        <v>3.5620000000000001E-3</v>
      </c>
      <c r="P35" s="31">
        <v>3.5620000000000001E-3</v>
      </c>
      <c r="Q35" s="28">
        <v>1</v>
      </c>
      <c r="R35" s="22" t="s">
        <v>100</v>
      </c>
      <c r="S35" s="22" t="s">
        <v>35</v>
      </c>
      <c r="T35" s="22">
        <v>1</v>
      </c>
    </row>
    <row r="36" spans="2:20" x14ac:dyDescent="0.3">
      <c r="B36" s="22" t="s">
        <v>101</v>
      </c>
      <c r="C36" s="22" t="s">
        <v>102</v>
      </c>
      <c r="D36" s="31">
        <v>6.59E-2</v>
      </c>
      <c r="E36" s="25">
        <v>48029</v>
      </c>
      <c r="F36" s="22">
        <v>1217892</v>
      </c>
      <c r="G36" s="22">
        <v>1217892</v>
      </c>
      <c r="I36" s="44" t="s">
        <v>32</v>
      </c>
      <c r="J36" s="28">
        <v>400000</v>
      </c>
      <c r="K36" s="28">
        <v>0</v>
      </c>
      <c r="L36" s="28" t="s">
        <v>33</v>
      </c>
      <c r="M36" s="34">
        <v>99.81</v>
      </c>
      <c r="N36" s="37">
        <v>399240</v>
      </c>
      <c r="O36" s="31">
        <v>3.2049999999999999E-3</v>
      </c>
      <c r="P36" s="31">
        <v>3.2049999999999999E-3</v>
      </c>
      <c r="Q36" s="28">
        <v>1</v>
      </c>
      <c r="R36" s="22" t="s">
        <v>103</v>
      </c>
      <c r="S36" s="22" t="s">
        <v>35</v>
      </c>
      <c r="T36" s="22">
        <v>1</v>
      </c>
    </row>
    <row r="37" spans="2:20" x14ac:dyDescent="0.3">
      <c r="B37" s="22" t="s">
        <v>104</v>
      </c>
      <c r="C37" s="22" t="s">
        <v>105</v>
      </c>
      <c r="D37" s="31">
        <v>7.2499999999999995E-2</v>
      </c>
      <c r="E37" s="25">
        <v>47238</v>
      </c>
      <c r="F37" s="22">
        <v>1199488</v>
      </c>
      <c r="G37" s="22">
        <v>1199488</v>
      </c>
      <c r="I37" s="44" t="s">
        <v>32</v>
      </c>
      <c r="J37" s="28">
        <v>100102.89</v>
      </c>
      <c r="K37" s="28">
        <v>0</v>
      </c>
      <c r="L37" s="28" t="s">
        <v>33</v>
      </c>
      <c r="M37" s="34">
        <v>105.73</v>
      </c>
      <c r="N37" s="37">
        <v>105838.7856</v>
      </c>
      <c r="O37" s="31">
        <v>8.4900000000000004E-4</v>
      </c>
      <c r="P37" s="31">
        <v>8.4900000000000004E-4</v>
      </c>
      <c r="Q37" s="28">
        <v>1</v>
      </c>
      <c r="R37" s="22" t="s">
        <v>106</v>
      </c>
      <c r="S37" s="22" t="s">
        <v>35</v>
      </c>
      <c r="T37" s="22">
        <v>1</v>
      </c>
    </row>
    <row r="38" spans="2:20" x14ac:dyDescent="0.3">
      <c r="B38" s="22" t="s">
        <v>107</v>
      </c>
      <c r="C38" s="22" t="s">
        <v>108</v>
      </c>
      <c r="D38" s="31">
        <v>4.2999999999999997E-2</v>
      </c>
      <c r="E38" s="25">
        <v>47133</v>
      </c>
      <c r="F38" s="22">
        <v>1140102</v>
      </c>
      <c r="G38" s="22">
        <v>1140102</v>
      </c>
      <c r="I38" s="44" t="s">
        <v>32</v>
      </c>
      <c r="J38" s="28">
        <v>39371.74</v>
      </c>
      <c r="K38" s="28">
        <v>0</v>
      </c>
      <c r="L38" s="28" t="s">
        <v>33</v>
      </c>
      <c r="M38" s="34">
        <v>100.01</v>
      </c>
      <c r="N38" s="37">
        <v>39375.677170000003</v>
      </c>
      <c r="O38" s="31">
        <v>3.1599999999999998E-4</v>
      </c>
      <c r="P38" s="31">
        <v>3.1599999999999998E-4</v>
      </c>
      <c r="Q38" s="28">
        <v>1</v>
      </c>
      <c r="R38" s="22" t="s">
        <v>109</v>
      </c>
      <c r="S38" s="22" t="s">
        <v>35</v>
      </c>
      <c r="T38" s="22">
        <v>1</v>
      </c>
    </row>
    <row r="39" spans="2:20" x14ac:dyDescent="0.3">
      <c r="B39" s="22" t="s">
        <v>110</v>
      </c>
      <c r="C39" s="22" t="s">
        <v>111</v>
      </c>
      <c r="D39" s="31">
        <v>9.5000000000000001E-2</v>
      </c>
      <c r="E39" s="25">
        <v>46568</v>
      </c>
      <c r="F39" s="22">
        <v>1196542</v>
      </c>
      <c r="G39" s="22">
        <v>1196542</v>
      </c>
      <c r="I39" s="44" t="s">
        <v>32</v>
      </c>
      <c r="J39" s="28">
        <v>86095.79</v>
      </c>
      <c r="K39" s="28">
        <v>0</v>
      </c>
      <c r="L39" s="28" t="s">
        <v>33</v>
      </c>
      <c r="M39" s="34">
        <v>103.72</v>
      </c>
      <c r="N39" s="37">
        <v>89298.553390000001</v>
      </c>
      <c r="O39" s="31">
        <v>7.1699999999999997E-4</v>
      </c>
      <c r="P39" s="31">
        <v>7.1699999999999997E-4</v>
      </c>
      <c r="Q39" s="28">
        <v>1</v>
      </c>
      <c r="R39" s="22" t="s">
        <v>112</v>
      </c>
      <c r="S39" s="22" t="s">
        <v>35</v>
      </c>
      <c r="T39" s="22">
        <v>1</v>
      </c>
    </row>
    <row r="40" spans="2:20" x14ac:dyDescent="0.3">
      <c r="B40" s="22" t="s">
        <v>113</v>
      </c>
      <c r="C40" s="22" t="s">
        <v>111</v>
      </c>
      <c r="D40" s="31">
        <v>7.1999999999999995E-2</v>
      </c>
      <c r="E40" s="25">
        <v>47118</v>
      </c>
      <c r="F40" s="22">
        <v>1211770</v>
      </c>
      <c r="G40" s="22">
        <v>1211770</v>
      </c>
      <c r="I40" s="44" t="s">
        <v>32</v>
      </c>
      <c r="J40" s="28">
        <v>317469</v>
      </c>
      <c r="K40" s="28">
        <v>0</v>
      </c>
      <c r="L40" s="28" t="s">
        <v>33</v>
      </c>
      <c r="M40" s="34">
        <v>102.11</v>
      </c>
      <c r="N40" s="37">
        <v>324167.59590000001</v>
      </c>
      <c r="O40" s="31">
        <v>2.6029999999999998E-3</v>
      </c>
      <c r="P40" s="31">
        <v>2.6029999999999998E-3</v>
      </c>
      <c r="Q40" s="28">
        <v>1</v>
      </c>
      <c r="R40" s="22" t="s">
        <v>114</v>
      </c>
      <c r="S40" s="22" t="s">
        <v>35</v>
      </c>
      <c r="T40" s="22">
        <v>1</v>
      </c>
    </row>
    <row r="41" spans="2:20" x14ac:dyDescent="0.3">
      <c r="B41" s="22" t="s">
        <v>115</v>
      </c>
      <c r="C41" s="22" t="s">
        <v>111</v>
      </c>
      <c r="D41" s="31">
        <v>6.8000000000000005E-2</v>
      </c>
      <c r="E41" s="25">
        <v>47664</v>
      </c>
      <c r="F41" s="22">
        <v>1225929</v>
      </c>
      <c r="G41" s="22">
        <v>1225929</v>
      </c>
      <c r="I41" s="44" t="s">
        <v>32</v>
      </c>
      <c r="J41" s="28">
        <v>1963865</v>
      </c>
      <c r="K41" s="28">
        <v>0</v>
      </c>
      <c r="L41" s="28" t="s">
        <v>33</v>
      </c>
      <c r="M41" s="34">
        <v>99.5</v>
      </c>
      <c r="N41" s="37">
        <v>1954045.675</v>
      </c>
      <c r="O41" s="31">
        <v>1.5691E-2</v>
      </c>
      <c r="P41" s="31">
        <v>1.5691E-2</v>
      </c>
      <c r="Q41" s="28">
        <v>1</v>
      </c>
      <c r="R41" s="22" t="s">
        <v>116</v>
      </c>
      <c r="S41" s="22" t="s">
        <v>35</v>
      </c>
      <c r="T41" s="22">
        <v>1</v>
      </c>
    </row>
    <row r="42" spans="2:20" x14ac:dyDescent="0.3">
      <c r="B42" s="22" t="s">
        <v>117</v>
      </c>
      <c r="C42" s="22" t="s">
        <v>118</v>
      </c>
      <c r="D42" s="31">
        <v>3.2000000000000001E-2</v>
      </c>
      <c r="E42" s="25">
        <v>47330</v>
      </c>
      <c r="F42" s="22">
        <v>1195569</v>
      </c>
      <c r="G42" s="22">
        <v>1195569</v>
      </c>
      <c r="I42" s="44" t="s">
        <v>32</v>
      </c>
      <c r="J42" s="28">
        <v>120946</v>
      </c>
      <c r="K42" s="28">
        <v>0</v>
      </c>
      <c r="L42" s="28" t="s">
        <v>33</v>
      </c>
      <c r="M42" s="34">
        <v>99.59</v>
      </c>
      <c r="N42" s="37">
        <v>120450.1214</v>
      </c>
      <c r="O42" s="31">
        <v>9.6699999999999998E-4</v>
      </c>
      <c r="P42" s="31">
        <v>9.6699999999999998E-4</v>
      </c>
      <c r="Q42" s="28">
        <v>1</v>
      </c>
      <c r="R42" s="22" t="s">
        <v>119</v>
      </c>
      <c r="S42" s="22" t="s">
        <v>35</v>
      </c>
      <c r="T42" s="22">
        <v>1</v>
      </c>
    </row>
    <row r="43" spans="2:20" x14ac:dyDescent="0.3">
      <c r="B43" s="22" t="s">
        <v>120</v>
      </c>
      <c r="C43" s="22" t="s">
        <v>121</v>
      </c>
      <c r="D43" s="31">
        <v>2.7E-2</v>
      </c>
      <c r="E43" s="25">
        <v>48116</v>
      </c>
      <c r="F43" s="22">
        <v>2590511</v>
      </c>
      <c r="G43" s="22">
        <v>2590511</v>
      </c>
      <c r="I43" s="44" t="s">
        <v>32</v>
      </c>
      <c r="J43" s="28">
        <v>242983.67999999999</v>
      </c>
      <c r="K43" s="28">
        <v>0</v>
      </c>
      <c r="L43" s="28" t="s">
        <v>33</v>
      </c>
      <c r="M43" s="34">
        <v>97.54</v>
      </c>
      <c r="N43" s="37">
        <v>237006.28146999999</v>
      </c>
      <c r="O43" s="31">
        <v>1.903E-3</v>
      </c>
      <c r="P43" s="31">
        <v>1.903E-3</v>
      </c>
      <c r="Q43" s="28">
        <v>1</v>
      </c>
      <c r="R43" s="22" t="s">
        <v>122</v>
      </c>
      <c r="S43" s="22" t="s">
        <v>35</v>
      </c>
      <c r="T43" s="22">
        <v>1</v>
      </c>
    </row>
    <row r="44" spans="2:20" x14ac:dyDescent="0.3">
      <c r="B44" s="22" t="s">
        <v>123</v>
      </c>
      <c r="C44" s="22" t="s">
        <v>124</v>
      </c>
      <c r="D44" s="31">
        <v>7.0000000000000007E-2</v>
      </c>
      <c r="E44" s="25">
        <v>47300</v>
      </c>
      <c r="F44" s="22">
        <v>1206663</v>
      </c>
      <c r="G44" s="22">
        <v>1206663</v>
      </c>
      <c r="I44" s="44" t="s">
        <v>32</v>
      </c>
      <c r="J44" s="28">
        <v>2000623</v>
      </c>
      <c r="K44" s="28">
        <v>0</v>
      </c>
      <c r="L44" s="28" t="s">
        <v>33</v>
      </c>
      <c r="M44" s="34">
        <v>102.24</v>
      </c>
      <c r="N44" s="37">
        <v>2045436.9552</v>
      </c>
      <c r="O44" s="31">
        <v>1.6424999999999999E-2</v>
      </c>
      <c r="P44" s="31">
        <v>1.6424999999999999E-2</v>
      </c>
      <c r="Q44" s="28">
        <v>1</v>
      </c>
      <c r="R44" s="22" t="s">
        <v>125</v>
      </c>
      <c r="S44" s="22" t="s">
        <v>35</v>
      </c>
      <c r="T44" s="22">
        <v>1</v>
      </c>
    </row>
    <row r="45" spans="2:20" x14ac:dyDescent="0.3">
      <c r="B45" s="22" t="s">
        <v>126</v>
      </c>
      <c r="C45" s="22" t="s">
        <v>124</v>
      </c>
      <c r="D45" s="31">
        <v>7.1499999999999994E-2</v>
      </c>
      <c r="E45" s="25">
        <v>47209</v>
      </c>
      <c r="F45" s="22">
        <v>1215110</v>
      </c>
      <c r="G45" s="22">
        <v>1215110</v>
      </c>
      <c r="I45" s="44" t="s">
        <v>32</v>
      </c>
      <c r="J45" s="28">
        <v>108822</v>
      </c>
      <c r="K45" s="28">
        <v>0</v>
      </c>
      <c r="L45" s="28" t="s">
        <v>33</v>
      </c>
      <c r="M45" s="34">
        <v>103.89</v>
      </c>
      <c r="N45" s="37">
        <v>113055.1758</v>
      </c>
      <c r="O45" s="31">
        <v>9.0700000000000004E-4</v>
      </c>
      <c r="P45" s="31">
        <v>9.0700000000000004E-4</v>
      </c>
      <c r="Q45" s="28">
        <v>1</v>
      </c>
      <c r="R45" s="22" t="s">
        <v>127</v>
      </c>
      <c r="S45" s="22" t="s">
        <v>35</v>
      </c>
      <c r="T45" s="22">
        <v>1</v>
      </c>
    </row>
    <row r="46" spans="2:20" x14ac:dyDescent="0.3">
      <c r="B46" s="22" t="s">
        <v>128</v>
      </c>
      <c r="C46" s="22" t="s">
        <v>129</v>
      </c>
      <c r="D46" s="31">
        <v>3.9E-2</v>
      </c>
      <c r="E46" s="25">
        <v>46203</v>
      </c>
      <c r="F46" s="22">
        <v>5310305</v>
      </c>
      <c r="G46" s="22">
        <v>5310305</v>
      </c>
      <c r="I46" s="44" t="s">
        <v>32</v>
      </c>
      <c r="J46" s="28">
        <v>38634.75</v>
      </c>
      <c r="K46" s="28">
        <v>0</v>
      </c>
      <c r="L46" s="28" t="s">
        <v>33</v>
      </c>
      <c r="M46" s="34">
        <v>99.53</v>
      </c>
      <c r="N46" s="37">
        <v>38453.166680000002</v>
      </c>
      <c r="O46" s="31">
        <v>3.0800000000000001E-4</v>
      </c>
      <c r="P46" s="31">
        <v>3.0800000000000001E-4</v>
      </c>
      <c r="Q46" s="28">
        <v>1</v>
      </c>
      <c r="R46" s="22" t="s">
        <v>130</v>
      </c>
      <c r="S46" s="22" t="s">
        <v>35</v>
      </c>
      <c r="T46" s="22">
        <v>1</v>
      </c>
    </row>
    <row r="47" spans="2:20" x14ac:dyDescent="0.3">
      <c r="B47" s="22" t="s">
        <v>131</v>
      </c>
      <c r="C47" s="22" t="s">
        <v>132</v>
      </c>
      <c r="D47" s="31">
        <v>0.08</v>
      </c>
      <c r="E47" s="25">
        <v>47300</v>
      </c>
      <c r="F47" s="22">
        <v>1197763</v>
      </c>
      <c r="G47" s="22">
        <v>1197763</v>
      </c>
      <c r="I47" s="44" t="s">
        <v>32</v>
      </c>
      <c r="J47" s="28">
        <v>146630</v>
      </c>
      <c r="K47" s="28">
        <v>0</v>
      </c>
      <c r="L47" s="28" t="s">
        <v>33</v>
      </c>
      <c r="M47" s="34">
        <v>105.77</v>
      </c>
      <c r="N47" s="37">
        <v>155090.55100000001</v>
      </c>
      <c r="O47" s="31">
        <v>1.245E-3</v>
      </c>
      <c r="P47" s="31">
        <v>1.245E-3</v>
      </c>
      <c r="Q47" s="28">
        <v>1</v>
      </c>
      <c r="R47" s="22" t="s">
        <v>133</v>
      </c>
      <c r="S47" s="22" t="s">
        <v>35</v>
      </c>
      <c r="T47" s="22">
        <v>1</v>
      </c>
    </row>
    <row r="48" spans="2:20" x14ac:dyDescent="0.3">
      <c r="B48" s="22" t="s">
        <v>134</v>
      </c>
      <c r="C48" s="22" t="s">
        <v>135</v>
      </c>
      <c r="D48" s="31">
        <v>6.9500000000000006E-2</v>
      </c>
      <c r="E48" s="25">
        <v>47664</v>
      </c>
      <c r="F48" s="22">
        <v>1198043</v>
      </c>
      <c r="G48" s="22">
        <v>1198043</v>
      </c>
      <c r="I48" s="44" t="s">
        <v>32</v>
      </c>
      <c r="J48" s="28">
        <v>1546752.1</v>
      </c>
      <c r="K48" s="28">
        <v>0</v>
      </c>
      <c r="L48" s="28" t="s">
        <v>33</v>
      </c>
      <c r="M48" s="34">
        <v>105.61</v>
      </c>
      <c r="N48" s="37">
        <v>1633524.8928100001</v>
      </c>
      <c r="O48" s="31">
        <v>1.3117E-2</v>
      </c>
      <c r="P48" s="31">
        <v>1.3117E-2</v>
      </c>
      <c r="Q48" s="28">
        <v>1</v>
      </c>
      <c r="R48" s="22" t="s">
        <v>136</v>
      </c>
      <c r="S48" s="22" t="s">
        <v>35</v>
      </c>
      <c r="T48" s="22">
        <v>1</v>
      </c>
    </row>
    <row r="49" spans="2:20" x14ac:dyDescent="0.3">
      <c r="B49" s="22" t="s">
        <v>137</v>
      </c>
      <c r="C49" s="22" t="s">
        <v>138</v>
      </c>
      <c r="D49" s="31">
        <v>4.4999999999999998E-2</v>
      </c>
      <c r="E49" s="25">
        <v>47087</v>
      </c>
      <c r="F49" s="22">
        <v>1188663</v>
      </c>
      <c r="G49" s="22">
        <v>1188663</v>
      </c>
      <c r="I49" s="44" t="s">
        <v>32</v>
      </c>
      <c r="J49" s="28">
        <v>695225.12</v>
      </c>
      <c r="K49" s="28">
        <v>0</v>
      </c>
      <c r="L49" s="28" t="s">
        <v>33</v>
      </c>
      <c r="M49" s="34">
        <v>97</v>
      </c>
      <c r="N49" s="37">
        <v>674368.36640000006</v>
      </c>
      <c r="O49" s="31">
        <v>5.4149999999999997E-3</v>
      </c>
      <c r="P49" s="31">
        <v>5.4149999999999997E-3</v>
      </c>
      <c r="Q49" s="28">
        <v>1</v>
      </c>
      <c r="R49" s="22" t="s">
        <v>139</v>
      </c>
      <c r="S49" s="22" t="s">
        <v>35</v>
      </c>
      <c r="T49" s="22">
        <v>1</v>
      </c>
    </row>
    <row r="50" spans="2:20" x14ac:dyDescent="0.3">
      <c r="B50" s="22" t="s">
        <v>140</v>
      </c>
      <c r="C50" s="22" t="s">
        <v>141</v>
      </c>
      <c r="D50" s="31">
        <v>3.5000000000000003E-2</v>
      </c>
      <c r="E50" s="25">
        <v>46934</v>
      </c>
      <c r="F50" s="22">
        <v>1183714</v>
      </c>
      <c r="G50" s="22">
        <v>1183714</v>
      </c>
      <c r="I50" s="44" t="s">
        <v>32</v>
      </c>
      <c r="J50" s="28">
        <v>910999.95</v>
      </c>
      <c r="K50" s="28">
        <v>0</v>
      </c>
      <c r="L50" s="28" t="s">
        <v>33</v>
      </c>
      <c r="M50" s="34">
        <v>98.13</v>
      </c>
      <c r="N50" s="37">
        <v>893964.25094000006</v>
      </c>
      <c r="O50" s="31">
        <v>7.1780000000000004E-3</v>
      </c>
      <c r="P50" s="31">
        <v>7.1780000000000004E-3</v>
      </c>
      <c r="Q50" s="28">
        <v>1</v>
      </c>
      <c r="R50" s="22" t="s">
        <v>142</v>
      </c>
      <c r="S50" s="22" t="s">
        <v>35</v>
      </c>
      <c r="T50" s="22">
        <v>1</v>
      </c>
    </row>
    <row r="51" spans="2:20" x14ac:dyDescent="0.3">
      <c r="B51" s="22" t="s">
        <v>143</v>
      </c>
      <c r="C51" s="22" t="s">
        <v>144</v>
      </c>
      <c r="D51" s="31">
        <v>2.5000000000000001E-2</v>
      </c>
      <c r="E51" s="25">
        <v>47727</v>
      </c>
      <c r="F51" s="22">
        <v>1180355</v>
      </c>
      <c r="G51" s="22">
        <v>1180355</v>
      </c>
      <c r="I51" s="44" t="s">
        <v>32</v>
      </c>
      <c r="J51" s="28">
        <v>288599.25</v>
      </c>
      <c r="K51" s="28">
        <v>0</v>
      </c>
      <c r="L51" s="28" t="s">
        <v>33</v>
      </c>
      <c r="M51" s="34">
        <v>95.21</v>
      </c>
      <c r="N51" s="37">
        <v>274775.34593000001</v>
      </c>
      <c r="O51" s="31">
        <v>2.2060000000000001E-3</v>
      </c>
      <c r="P51" s="31">
        <v>2.2060000000000001E-3</v>
      </c>
      <c r="Q51" s="28">
        <v>1</v>
      </c>
      <c r="R51" s="22" t="s">
        <v>145</v>
      </c>
      <c r="S51" s="22" t="s">
        <v>35</v>
      </c>
      <c r="T51" s="22">
        <v>1</v>
      </c>
    </row>
    <row r="52" spans="2:20" x14ac:dyDescent="0.3">
      <c r="B52" s="22" t="s">
        <v>146</v>
      </c>
      <c r="C52" s="22" t="s">
        <v>144</v>
      </c>
      <c r="D52" s="31">
        <v>6.2E-2</v>
      </c>
      <c r="E52" s="25">
        <v>49212</v>
      </c>
      <c r="F52" s="22">
        <v>1203264</v>
      </c>
      <c r="G52" s="22">
        <v>1203264</v>
      </c>
      <c r="I52" s="44" t="s">
        <v>32</v>
      </c>
      <c r="J52" s="28">
        <v>306204</v>
      </c>
      <c r="K52" s="28">
        <v>0</v>
      </c>
      <c r="L52" s="28" t="s">
        <v>33</v>
      </c>
      <c r="M52" s="34">
        <v>111.29</v>
      </c>
      <c r="N52" s="37">
        <v>340774.43160000001</v>
      </c>
      <c r="O52" s="31">
        <v>2.7360000000000002E-3</v>
      </c>
      <c r="P52" s="31">
        <v>2.7360000000000002E-3</v>
      </c>
      <c r="Q52" s="28">
        <v>1</v>
      </c>
      <c r="R52" s="22" t="s">
        <v>147</v>
      </c>
      <c r="S52" s="22" t="s">
        <v>35</v>
      </c>
      <c r="T52" s="22">
        <v>1</v>
      </c>
    </row>
    <row r="53" spans="2:20" x14ac:dyDescent="0.3">
      <c r="B53" s="22" t="s">
        <v>148</v>
      </c>
      <c r="C53" s="22" t="s">
        <v>149</v>
      </c>
      <c r="D53" s="31">
        <v>5.9700000000000003E-2</v>
      </c>
      <c r="E53" s="25">
        <v>46112</v>
      </c>
      <c r="F53" s="22">
        <v>1187897</v>
      </c>
      <c r="G53" s="22">
        <v>1187897</v>
      </c>
      <c r="I53" s="44" t="s">
        <v>32</v>
      </c>
      <c r="J53" s="28">
        <v>438466.96</v>
      </c>
      <c r="K53" s="28">
        <v>0</v>
      </c>
      <c r="L53" s="28" t="s">
        <v>33</v>
      </c>
      <c r="M53" s="34">
        <v>102.09</v>
      </c>
      <c r="N53" s="37">
        <v>447630.91946</v>
      </c>
      <c r="O53" s="31">
        <v>3.594E-3</v>
      </c>
      <c r="P53" s="31">
        <v>3.594E-3</v>
      </c>
      <c r="Q53" s="28">
        <v>1</v>
      </c>
      <c r="R53" s="22" t="s">
        <v>150</v>
      </c>
      <c r="S53" s="22" t="s">
        <v>35</v>
      </c>
      <c r="T53" s="22">
        <v>1</v>
      </c>
    </row>
    <row r="54" spans="2:20" x14ac:dyDescent="0.3">
      <c r="B54" s="22" t="s">
        <v>151</v>
      </c>
      <c r="C54" s="22" t="s">
        <v>149</v>
      </c>
      <c r="D54" s="31">
        <v>6.5000000000000002E-2</v>
      </c>
      <c r="E54" s="25">
        <v>47209</v>
      </c>
      <c r="F54" s="22">
        <v>1209295</v>
      </c>
      <c r="G54" s="22">
        <v>1209295</v>
      </c>
      <c r="I54" s="44" t="s">
        <v>32</v>
      </c>
      <c r="J54" s="28">
        <v>56938</v>
      </c>
      <c r="K54" s="28">
        <v>0</v>
      </c>
      <c r="L54" s="28" t="s">
        <v>33</v>
      </c>
      <c r="M54" s="34">
        <v>103.99</v>
      </c>
      <c r="N54" s="37">
        <v>59209.826200000003</v>
      </c>
      <c r="O54" s="31">
        <v>4.75E-4</v>
      </c>
      <c r="P54" s="31">
        <v>4.75E-4</v>
      </c>
      <c r="Q54" s="28">
        <v>1</v>
      </c>
      <c r="R54" s="22" t="s">
        <v>152</v>
      </c>
      <c r="S54" s="22" t="s">
        <v>35</v>
      </c>
      <c r="T54" s="22">
        <v>1</v>
      </c>
    </row>
    <row r="55" spans="2:20" x14ac:dyDescent="0.3">
      <c r="B55" s="22" t="s">
        <v>153</v>
      </c>
      <c r="C55" s="22" t="s">
        <v>154</v>
      </c>
      <c r="D55" s="31">
        <v>0.04</v>
      </c>
      <c r="E55" s="25">
        <v>46563</v>
      </c>
      <c r="F55" s="22">
        <v>1156397</v>
      </c>
      <c r="G55" s="22">
        <v>1156397</v>
      </c>
      <c r="I55" s="44" t="s">
        <v>32</v>
      </c>
      <c r="J55" s="28">
        <v>171858.73</v>
      </c>
      <c r="K55" s="28">
        <v>0</v>
      </c>
      <c r="L55" s="28" t="s">
        <v>33</v>
      </c>
      <c r="M55" s="34">
        <v>102.56</v>
      </c>
      <c r="N55" s="37">
        <v>176258.31349</v>
      </c>
      <c r="O55" s="31">
        <v>1.415E-3</v>
      </c>
      <c r="P55" s="31">
        <v>1.415E-3</v>
      </c>
      <c r="Q55" s="28">
        <v>1</v>
      </c>
      <c r="R55" s="22" t="s">
        <v>155</v>
      </c>
      <c r="S55" s="22" t="s">
        <v>35</v>
      </c>
      <c r="T55" s="22">
        <v>1</v>
      </c>
    </row>
    <row r="56" spans="2:20" x14ac:dyDescent="0.3">
      <c r="B56" s="22" t="s">
        <v>156</v>
      </c>
      <c r="C56" s="22" t="s">
        <v>157</v>
      </c>
      <c r="D56" s="31">
        <v>6.1499999999999999E-2</v>
      </c>
      <c r="E56" s="25">
        <v>46843</v>
      </c>
      <c r="F56" s="22">
        <v>1139898</v>
      </c>
      <c r="G56" s="22">
        <v>1139898</v>
      </c>
      <c r="I56" s="44" t="s">
        <v>32</v>
      </c>
      <c r="J56" s="28">
        <v>613613.29</v>
      </c>
      <c r="K56" s="28">
        <v>0</v>
      </c>
      <c r="L56" s="28" t="s">
        <v>33</v>
      </c>
      <c r="M56" s="34">
        <v>101.04</v>
      </c>
      <c r="N56" s="37">
        <v>619994.86821999995</v>
      </c>
      <c r="O56" s="31">
        <v>4.9779999999999998E-3</v>
      </c>
      <c r="P56" s="31">
        <v>4.9779999999999998E-3</v>
      </c>
      <c r="Q56" s="28">
        <v>1</v>
      </c>
      <c r="R56" s="22" t="s">
        <v>158</v>
      </c>
      <c r="S56" s="22" t="s">
        <v>35</v>
      </c>
      <c r="T56" s="22">
        <v>1</v>
      </c>
    </row>
    <row r="57" spans="2:20" x14ac:dyDescent="0.3">
      <c r="B57" s="22" t="s">
        <v>159</v>
      </c>
      <c r="C57" s="22" t="s">
        <v>157</v>
      </c>
      <c r="D57" s="31">
        <v>7.7399999999999997E-2</v>
      </c>
      <c r="E57" s="25">
        <v>47361</v>
      </c>
      <c r="F57" s="22">
        <v>1188788</v>
      </c>
      <c r="G57" s="22">
        <v>1188788</v>
      </c>
      <c r="I57" s="44" t="s">
        <v>32</v>
      </c>
      <c r="J57" s="28">
        <v>2116912.9300000002</v>
      </c>
      <c r="K57" s="28">
        <v>0</v>
      </c>
      <c r="L57" s="28" t="s">
        <v>33</v>
      </c>
      <c r="M57" s="34">
        <v>99.99</v>
      </c>
      <c r="N57" s="37">
        <v>2116701.2387100002</v>
      </c>
      <c r="O57" s="31">
        <v>1.6997000000000002E-2</v>
      </c>
      <c r="P57" s="31">
        <v>1.6997000000000002E-2</v>
      </c>
      <c r="Q57" s="28">
        <v>1</v>
      </c>
      <c r="R57" s="22" t="s">
        <v>160</v>
      </c>
      <c r="S57" s="22" t="s">
        <v>35</v>
      </c>
      <c r="T57" s="22">
        <v>1</v>
      </c>
    </row>
    <row r="58" spans="2:20" x14ac:dyDescent="0.3">
      <c r="B58" s="22" t="s">
        <v>161</v>
      </c>
      <c r="C58" s="22" t="s">
        <v>162</v>
      </c>
      <c r="D58" s="31">
        <v>9.0999999999999998E-2</v>
      </c>
      <c r="E58" s="25">
        <v>46295</v>
      </c>
      <c r="F58" s="22">
        <v>1197029</v>
      </c>
      <c r="G58" s="22">
        <v>1197029</v>
      </c>
      <c r="I58" s="44" t="s">
        <v>32</v>
      </c>
      <c r="J58" s="28">
        <v>2397505.6800000002</v>
      </c>
      <c r="K58" s="28">
        <v>0</v>
      </c>
      <c r="L58" s="28" t="s">
        <v>33</v>
      </c>
      <c r="M58" s="34">
        <v>104.33</v>
      </c>
      <c r="N58" s="37">
        <v>2501317.67594</v>
      </c>
      <c r="O58" s="31">
        <v>2.0084999999999999E-2</v>
      </c>
      <c r="P58" s="31">
        <v>2.0084999999999999E-2</v>
      </c>
      <c r="Q58" s="28">
        <v>1</v>
      </c>
      <c r="R58" s="22" t="s">
        <v>163</v>
      </c>
      <c r="S58" s="22" t="s">
        <v>35</v>
      </c>
      <c r="T58" s="22">
        <v>1</v>
      </c>
    </row>
    <row r="59" spans="2:20" x14ac:dyDescent="0.3">
      <c r="B59" s="22" t="s">
        <v>164</v>
      </c>
      <c r="C59" s="22" t="s">
        <v>165</v>
      </c>
      <c r="D59" s="31">
        <v>5.8500000000000003E-2</v>
      </c>
      <c r="E59" s="25">
        <v>49125</v>
      </c>
      <c r="F59" s="22">
        <v>1208784</v>
      </c>
      <c r="G59" s="22">
        <v>1208784</v>
      </c>
      <c r="I59" s="44" t="s">
        <v>32</v>
      </c>
      <c r="J59" s="28">
        <v>301220</v>
      </c>
      <c r="K59" s="28">
        <v>0</v>
      </c>
      <c r="L59" s="28" t="s">
        <v>33</v>
      </c>
      <c r="M59" s="34">
        <v>109.47</v>
      </c>
      <c r="N59" s="37">
        <v>329745.53399999999</v>
      </c>
      <c r="O59" s="31">
        <v>2.647E-3</v>
      </c>
      <c r="P59" s="31">
        <v>2.647E-3</v>
      </c>
      <c r="Q59" s="28">
        <v>1</v>
      </c>
      <c r="R59" s="22" t="s">
        <v>166</v>
      </c>
      <c r="S59" s="22" t="s">
        <v>35</v>
      </c>
      <c r="T59" s="22">
        <v>1</v>
      </c>
    </row>
    <row r="60" spans="2:20" x14ac:dyDescent="0.3">
      <c r="B60" s="22" t="s">
        <v>167</v>
      </c>
      <c r="C60" s="22" t="s">
        <v>46</v>
      </c>
      <c r="D60" s="31">
        <v>7.22E-2</v>
      </c>
      <c r="E60" s="25">
        <v>46965</v>
      </c>
      <c r="F60" s="22">
        <v>1198860</v>
      </c>
      <c r="G60" s="22">
        <v>1198860</v>
      </c>
      <c r="I60" s="44" t="s">
        <v>32</v>
      </c>
      <c r="J60" s="28">
        <v>1295457</v>
      </c>
      <c r="K60" s="28">
        <v>0</v>
      </c>
      <c r="L60" s="28" t="s">
        <v>33</v>
      </c>
      <c r="M60" s="34">
        <v>102.93</v>
      </c>
      <c r="N60" s="37">
        <v>1333413.8901</v>
      </c>
      <c r="O60" s="31">
        <v>1.0707E-2</v>
      </c>
      <c r="P60" s="31">
        <v>1.0707E-2</v>
      </c>
      <c r="Q60" s="28">
        <v>1</v>
      </c>
      <c r="R60" s="22" t="s">
        <v>168</v>
      </c>
      <c r="S60" s="22" t="s">
        <v>35</v>
      </c>
      <c r="T60" s="22">
        <v>1</v>
      </c>
    </row>
    <row r="61" spans="2:20" x14ac:dyDescent="0.3">
      <c r="B61" s="22" t="s">
        <v>169</v>
      </c>
      <c r="C61" s="22" t="s">
        <v>46</v>
      </c>
      <c r="D61" s="31">
        <v>6.4000000000000001E-2</v>
      </c>
      <c r="E61" s="25">
        <v>47452</v>
      </c>
      <c r="F61" s="22">
        <v>1216720</v>
      </c>
      <c r="G61" s="22">
        <v>1216720</v>
      </c>
      <c r="I61" s="44" t="s">
        <v>32</v>
      </c>
      <c r="J61" s="28">
        <v>322360</v>
      </c>
      <c r="K61" s="28">
        <v>0</v>
      </c>
      <c r="L61" s="28" t="s">
        <v>33</v>
      </c>
      <c r="M61" s="34">
        <v>103.86</v>
      </c>
      <c r="N61" s="37">
        <v>334803.09600000002</v>
      </c>
      <c r="O61" s="31">
        <v>2.6879999999999999E-3</v>
      </c>
      <c r="P61" s="31">
        <v>2.6879999999999999E-3</v>
      </c>
      <c r="Q61" s="28">
        <v>1</v>
      </c>
      <c r="R61" s="22" t="s">
        <v>170</v>
      </c>
      <c r="S61" s="22" t="s">
        <v>35</v>
      </c>
      <c r="T61" s="22">
        <v>1</v>
      </c>
    </row>
    <row r="62" spans="2:20" x14ac:dyDescent="0.3">
      <c r="B62" s="22" t="s">
        <v>171</v>
      </c>
      <c r="C62" s="22" t="s">
        <v>172</v>
      </c>
      <c r="D62" s="31">
        <v>7.0699999999999999E-2</v>
      </c>
      <c r="E62" s="25">
        <v>47968</v>
      </c>
      <c r="F62" s="22">
        <v>1212588</v>
      </c>
      <c r="G62" s="22">
        <v>1212588</v>
      </c>
      <c r="I62" s="44" t="s">
        <v>32</v>
      </c>
      <c r="J62" s="28">
        <v>774191</v>
      </c>
      <c r="K62" s="28">
        <v>0</v>
      </c>
      <c r="L62" s="28" t="s">
        <v>33</v>
      </c>
      <c r="M62" s="34">
        <v>103.05</v>
      </c>
      <c r="N62" s="37">
        <v>797803.82550000004</v>
      </c>
      <c r="O62" s="31">
        <v>6.4060000000000002E-3</v>
      </c>
      <c r="P62" s="31">
        <v>6.4060000000000002E-3</v>
      </c>
      <c r="Q62" s="28">
        <v>1</v>
      </c>
      <c r="R62" s="22" t="s">
        <v>173</v>
      </c>
      <c r="S62" s="22" t="s">
        <v>35</v>
      </c>
      <c r="T62" s="22">
        <v>1</v>
      </c>
    </row>
    <row r="63" spans="2:20" x14ac:dyDescent="0.3">
      <c r="B63" s="22" t="s">
        <v>174</v>
      </c>
      <c r="C63" s="22" t="s">
        <v>31</v>
      </c>
      <c r="D63" s="31">
        <v>6.9800000000000001E-2</v>
      </c>
      <c r="E63" s="25">
        <v>47118</v>
      </c>
      <c r="F63" s="22">
        <v>1215094</v>
      </c>
      <c r="G63" s="22">
        <v>1215094</v>
      </c>
      <c r="I63" s="44" t="s">
        <v>32</v>
      </c>
      <c r="J63" s="28">
        <v>1196466</v>
      </c>
      <c r="K63" s="28">
        <v>0</v>
      </c>
      <c r="L63" s="28" t="s">
        <v>33</v>
      </c>
      <c r="M63" s="34">
        <v>103.15</v>
      </c>
      <c r="N63" s="37">
        <v>1234154.679</v>
      </c>
      <c r="O63" s="31">
        <v>9.9100000000000004E-3</v>
      </c>
      <c r="P63" s="31">
        <v>9.9100000000000004E-3</v>
      </c>
      <c r="Q63" s="28">
        <v>1</v>
      </c>
      <c r="R63" s="22" t="s">
        <v>175</v>
      </c>
      <c r="S63" s="22" t="s">
        <v>35</v>
      </c>
      <c r="T63" s="22">
        <v>1</v>
      </c>
    </row>
    <row r="64" spans="2:20" x14ac:dyDescent="0.3">
      <c r="B64" s="22" t="s">
        <v>176</v>
      </c>
      <c r="C64" s="22" t="s">
        <v>177</v>
      </c>
      <c r="D64" s="31">
        <v>2.1100000000000001E-2</v>
      </c>
      <c r="E64" s="25">
        <v>47462</v>
      </c>
      <c r="F64" s="22">
        <v>1161371</v>
      </c>
      <c r="G64" s="22">
        <v>1161371</v>
      </c>
      <c r="I64" s="44" t="s">
        <v>32</v>
      </c>
      <c r="J64" s="28">
        <v>249223.59</v>
      </c>
      <c r="K64" s="28">
        <v>0</v>
      </c>
      <c r="L64" s="28" t="s">
        <v>33</v>
      </c>
      <c r="M64" s="34">
        <v>96.01</v>
      </c>
      <c r="N64" s="37">
        <v>239279.56875999999</v>
      </c>
      <c r="O64" s="31">
        <v>1.921E-3</v>
      </c>
      <c r="P64" s="31">
        <v>1.921E-3</v>
      </c>
      <c r="Q64" s="28">
        <v>1</v>
      </c>
      <c r="R64" s="22" t="s">
        <v>178</v>
      </c>
      <c r="S64" s="22" t="s">
        <v>35</v>
      </c>
      <c r="T64" s="22">
        <v>1</v>
      </c>
    </row>
    <row r="65" spans="1:20" x14ac:dyDescent="0.3">
      <c r="B65" s="22" t="s">
        <v>179</v>
      </c>
      <c r="C65" s="22" t="s">
        <v>180</v>
      </c>
      <c r="D65" s="31">
        <v>4.4999999999999998E-2</v>
      </c>
      <c r="E65" s="25">
        <v>48502</v>
      </c>
      <c r="F65" s="22">
        <v>1160258</v>
      </c>
      <c r="G65" s="22">
        <v>1160258</v>
      </c>
      <c r="I65" s="44" t="s">
        <v>32</v>
      </c>
      <c r="J65" s="28">
        <v>417398.56</v>
      </c>
      <c r="K65" s="28">
        <v>0</v>
      </c>
      <c r="L65" s="28" t="s">
        <v>33</v>
      </c>
      <c r="M65" s="34">
        <v>99.09</v>
      </c>
      <c r="N65" s="37">
        <v>413600.23310000001</v>
      </c>
      <c r="O65" s="31">
        <v>3.3210000000000002E-3</v>
      </c>
      <c r="P65" s="31">
        <v>3.3210000000000002E-3</v>
      </c>
      <c r="Q65" s="28">
        <v>1</v>
      </c>
      <c r="R65" s="22" t="s">
        <v>181</v>
      </c>
      <c r="S65" s="22" t="s">
        <v>35</v>
      </c>
      <c r="T65" s="22">
        <v>1</v>
      </c>
    </row>
    <row r="66" spans="1:20" x14ac:dyDescent="0.3">
      <c r="B66" s="22" t="s">
        <v>182</v>
      </c>
      <c r="C66" s="22" t="s">
        <v>43</v>
      </c>
      <c r="D66" s="31">
        <v>6.6000000000000003E-2</v>
      </c>
      <c r="E66" s="25">
        <v>46934</v>
      </c>
      <c r="F66" s="22">
        <v>1214675</v>
      </c>
      <c r="G66" s="22">
        <v>1214675</v>
      </c>
      <c r="I66" s="44" t="s">
        <v>32</v>
      </c>
      <c r="J66" s="28">
        <v>1259751.76</v>
      </c>
      <c r="K66" s="28">
        <v>0</v>
      </c>
      <c r="L66" s="28" t="s">
        <v>33</v>
      </c>
      <c r="M66" s="34">
        <v>102.13</v>
      </c>
      <c r="N66" s="37">
        <v>1286584.4724900001</v>
      </c>
      <c r="O66" s="31">
        <v>1.0331E-2</v>
      </c>
      <c r="P66" s="31">
        <v>1.0331E-2</v>
      </c>
      <c r="Q66" s="28">
        <v>1</v>
      </c>
      <c r="R66" s="22" t="s">
        <v>183</v>
      </c>
      <c r="S66" s="22" t="s">
        <v>35</v>
      </c>
      <c r="T66" s="22">
        <v>1</v>
      </c>
    </row>
    <row r="67" spans="1:20" x14ac:dyDescent="0.3">
      <c r="B67" s="22" t="s">
        <v>184</v>
      </c>
      <c r="C67" s="22" t="s">
        <v>185</v>
      </c>
      <c r="D67" s="31">
        <v>0.08</v>
      </c>
      <c r="E67" s="25">
        <v>46433</v>
      </c>
      <c r="F67" s="22">
        <v>1184308</v>
      </c>
      <c r="G67" s="22">
        <v>1184308</v>
      </c>
      <c r="I67" s="44" t="s">
        <v>32</v>
      </c>
      <c r="J67" s="28">
        <v>871221.04</v>
      </c>
      <c r="K67" s="28">
        <v>0</v>
      </c>
      <c r="L67" s="28" t="s">
        <v>33</v>
      </c>
      <c r="M67" s="34">
        <v>101.55</v>
      </c>
      <c r="N67" s="37">
        <v>884724.96612</v>
      </c>
      <c r="O67" s="31">
        <v>7.1040000000000001E-3</v>
      </c>
      <c r="P67" s="31">
        <v>7.1040000000000001E-3</v>
      </c>
      <c r="Q67" s="28">
        <v>1</v>
      </c>
      <c r="R67" s="22" t="s">
        <v>186</v>
      </c>
      <c r="S67" s="22" t="s">
        <v>35</v>
      </c>
      <c r="T67" s="22">
        <v>1</v>
      </c>
    </row>
    <row r="68" spans="1:20" x14ac:dyDescent="0.3">
      <c r="B68" s="22" t="s">
        <v>187</v>
      </c>
      <c r="C68" s="22" t="s">
        <v>188</v>
      </c>
      <c r="D68" s="31">
        <v>4.1000000000000002E-2</v>
      </c>
      <c r="E68" s="25">
        <v>46387</v>
      </c>
      <c r="F68" s="22">
        <v>1161348</v>
      </c>
      <c r="G68" s="22">
        <v>1161348</v>
      </c>
      <c r="I68" s="44" t="s">
        <v>32</v>
      </c>
      <c r="J68" s="28">
        <v>148129.37</v>
      </c>
      <c r="K68" s="28">
        <v>0</v>
      </c>
      <c r="L68" s="28" t="s">
        <v>33</v>
      </c>
      <c r="M68" s="34">
        <v>99.76</v>
      </c>
      <c r="N68" s="37">
        <v>147773.85951000001</v>
      </c>
      <c r="O68" s="31">
        <v>1.186E-3</v>
      </c>
      <c r="P68" s="31">
        <v>1.186E-3</v>
      </c>
      <c r="Q68" s="28">
        <v>1</v>
      </c>
      <c r="R68" s="22" t="s">
        <v>189</v>
      </c>
      <c r="S68" s="22" t="s">
        <v>35</v>
      </c>
      <c r="T68" s="22">
        <v>1</v>
      </c>
    </row>
    <row r="69" spans="1:20" x14ac:dyDescent="0.3">
      <c r="B69" s="22" t="s">
        <v>190</v>
      </c>
      <c r="C69" s="22" t="s">
        <v>191</v>
      </c>
      <c r="D69" s="31">
        <v>3.04E-2</v>
      </c>
      <c r="E69" s="25">
        <v>47300</v>
      </c>
      <c r="F69" s="22">
        <v>1168517</v>
      </c>
      <c r="G69" s="22">
        <v>1168517</v>
      </c>
      <c r="I69" s="44" t="s">
        <v>32</v>
      </c>
      <c r="J69" s="28">
        <v>276677.28000000003</v>
      </c>
      <c r="K69" s="28">
        <v>0</v>
      </c>
      <c r="L69" s="28" t="s">
        <v>33</v>
      </c>
      <c r="M69" s="34">
        <v>97.61</v>
      </c>
      <c r="N69" s="37">
        <v>270064.69300999999</v>
      </c>
      <c r="O69" s="31">
        <v>2.1679999999999998E-3</v>
      </c>
      <c r="P69" s="31">
        <v>2.1679999999999998E-3</v>
      </c>
      <c r="Q69" s="28">
        <v>1</v>
      </c>
      <c r="R69" s="22" t="s">
        <v>192</v>
      </c>
      <c r="S69" s="22" t="s">
        <v>35</v>
      </c>
      <c r="T69" s="22">
        <v>1</v>
      </c>
    </row>
    <row r="70" spans="1:20" x14ac:dyDescent="0.3">
      <c r="B70" s="22" t="s">
        <v>193</v>
      </c>
      <c r="C70" s="22" t="s">
        <v>191</v>
      </c>
      <c r="D70" s="31">
        <v>5.4800000000000001E-2</v>
      </c>
      <c r="E70" s="25">
        <v>48395</v>
      </c>
      <c r="F70" s="22">
        <v>1199124</v>
      </c>
      <c r="G70" s="22">
        <v>1199124</v>
      </c>
      <c r="I70" s="44" t="s">
        <v>32</v>
      </c>
      <c r="J70" s="28">
        <v>187140</v>
      </c>
      <c r="K70" s="28">
        <v>0</v>
      </c>
      <c r="L70" s="28" t="s">
        <v>33</v>
      </c>
      <c r="M70" s="34">
        <v>106.16</v>
      </c>
      <c r="N70" s="37">
        <v>198667.82399999999</v>
      </c>
      <c r="O70" s="31">
        <v>1.5950000000000001E-3</v>
      </c>
      <c r="P70" s="31">
        <v>1.5950000000000001E-3</v>
      </c>
      <c r="Q70" s="28">
        <v>1</v>
      </c>
      <c r="R70" s="22" t="s">
        <v>194</v>
      </c>
      <c r="S70" s="22" t="s">
        <v>35</v>
      </c>
      <c r="T70" s="22">
        <v>1</v>
      </c>
    </row>
    <row r="71" spans="1:20" x14ac:dyDescent="0.3">
      <c r="B71" s="22" t="s">
        <v>195</v>
      </c>
      <c r="C71" s="22" t="s">
        <v>191</v>
      </c>
      <c r="D71" s="31">
        <v>5.2900000000000003E-2</v>
      </c>
      <c r="E71" s="25">
        <v>49491</v>
      </c>
      <c r="F71" s="22">
        <v>1217694</v>
      </c>
      <c r="G71" s="22">
        <v>1217694</v>
      </c>
      <c r="I71" s="44" t="s">
        <v>32</v>
      </c>
      <c r="J71" s="28">
        <v>269494</v>
      </c>
      <c r="K71" s="28">
        <v>0</v>
      </c>
      <c r="L71" s="28" t="s">
        <v>33</v>
      </c>
      <c r="M71" s="34">
        <v>106.25</v>
      </c>
      <c r="N71" s="37">
        <v>286337.375</v>
      </c>
      <c r="O71" s="31">
        <v>2.2989999999999998E-3</v>
      </c>
      <c r="P71" s="31">
        <v>2.2989999999999998E-3</v>
      </c>
      <c r="Q71" s="28">
        <v>1</v>
      </c>
      <c r="R71" s="22" t="s">
        <v>196</v>
      </c>
      <c r="S71" s="22" t="s">
        <v>35</v>
      </c>
      <c r="T71" s="22">
        <v>1</v>
      </c>
    </row>
    <row r="72" spans="1:20" x14ac:dyDescent="0.3">
      <c r="B72" s="22" t="s">
        <v>197</v>
      </c>
      <c r="C72" s="22" t="s">
        <v>198</v>
      </c>
      <c r="D72" s="31">
        <v>6.9500000000000006E-2</v>
      </c>
      <c r="E72" s="25">
        <v>48029</v>
      </c>
      <c r="F72" s="22">
        <v>1207836</v>
      </c>
      <c r="G72" s="22">
        <v>1207836</v>
      </c>
      <c r="I72" s="44" t="s">
        <v>32</v>
      </c>
      <c r="J72" s="28">
        <v>100381</v>
      </c>
      <c r="K72" s="28">
        <v>0</v>
      </c>
      <c r="L72" s="28" t="s">
        <v>33</v>
      </c>
      <c r="M72" s="34">
        <v>105.86</v>
      </c>
      <c r="N72" s="37">
        <v>106263.3266</v>
      </c>
      <c r="O72" s="31">
        <v>8.5300000000000003E-4</v>
      </c>
      <c r="P72" s="31">
        <v>8.5300000000000003E-4</v>
      </c>
      <c r="Q72" s="28">
        <v>1</v>
      </c>
      <c r="R72" s="22" t="s">
        <v>199</v>
      </c>
      <c r="S72" s="22" t="s">
        <v>35</v>
      </c>
      <c r="T72" s="22">
        <v>1</v>
      </c>
    </row>
    <row r="73" spans="1:20" x14ac:dyDescent="0.3">
      <c r="B73" s="22" t="s">
        <v>200</v>
      </c>
      <c r="C73" s="22" t="s">
        <v>201</v>
      </c>
      <c r="D73" s="31">
        <v>6.6900000000000001E-2</v>
      </c>
      <c r="E73" s="25">
        <v>46783</v>
      </c>
      <c r="F73" s="22">
        <v>1215763</v>
      </c>
      <c r="G73" s="22">
        <v>1215763</v>
      </c>
      <c r="I73" s="44" t="s">
        <v>32</v>
      </c>
      <c r="J73" s="28">
        <v>10000</v>
      </c>
      <c r="K73" s="28">
        <v>0</v>
      </c>
      <c r="L73" s="28" t="s">
        <v>33</v>
      </c>
      <c r="M73" s="34">
        <v>103.3</v>
      </c>
      <c r="N73" s="37">
        <v>10330</v>
      </c>
      <c r="O73" s="31">
        <v>8.2000000000000001E-5</v>
      </c>
      <c r="P73" s="31">
        <v>8.2000000000000001E-5</v>
      </c>
      <c r="Q73" s="28">
        <v>1</v>
      </c>
      <c r="R73" s="22" t="s">
        <v>202</v>
      </c>
      <c r="S73" s="22" t="s">
        <v>35</v>
      </c>
      <c r="T73" s="22">
        <v>1</v>
      </c>
    </row>
    <row r="74" spans="1:20" x14ac:dyDescent="0.3">
      <c r="B74" s="22" t="s">
        <v>203</v>
      </c>
      <c r="C74" s="22" t="s">
        <v>204</v>
      </c>
      <c r="D74" s="31">
        <v>2.18E-2</v>
      </c>
      <c r="E74" s="25">
        <v>48197</v>
      </c>
      <c r="F74" s="22">
        <v>1183037</v>
      </c>
      <c r="G74" s="22">
        <v>1183037</v>
      </c>
      <c r="I74" s="44" t="s">
        <v>32</v>
      </c>
      <c r="J74" s="28">
        <v>199004</v>
      </c>
      <c r="K74" s="28">
        <v>0</v>
      </c>
      <c r="L74" s="28" t="s">
        <v>33</v>
      </c>
      <c r="M74" s="34">
        <v>95.12</v>
      </c>
      <c r="N74" s="37">
        <v>189292.6048</v>
      </c>
      <c r="O74" s="31">
        <v>1.5200000000000001E-3</v>
      </c>
      <c r="P74" s="31">
        <v>1.5200000000000001E-3</v>
      </c>
      <c r="Q74" s="28">
        <v>1</v>
      </c>
      <c r="R74" s="22" t="s">
        <v>205</v>
      </c>
      <c r="S74" s="22" t="s">
        <v>35</v>
      </c>
      <c r="T74" s="22">
        <v>1</v>
      </c>
    </row>
    <row r="75" spans="1:20" x14ac:dyDescent="0.3">
      <c r="B75" s="22" t="s">
        <v>206</v>
      </c>
      <c r="C75" s="22" t="s">
        <v>207</v>
      </c>
      <c r="D75" s="31">
        <v>7.9699999999999993E-2</v>
      </c>
      <c r="E75" s="25">
        <v>47543</v>
      </c>
      <c r="F75" s="22">
        <v>1233550</v>
      </c>
      <c r="G75" s="22">
        <v>1233550</v>
      </c>
      <c r="I75" s="44" t="s">
        <v>32</v>
      </c>
      <c r="J75" s="28">
        <v>100000</v>
      </c>
      <c r="K75" s="28">
        <v>0</v>
      </c>
      <c r="L75" s="28" t="s">
        <v>33</v>
      </c>
      <c r="M75" s="34">
        <v>101.62</v>
      </c>
      <c r="N75" s="37">
        <v>101620</v>
      </c>
      <c r="O75" s="31">
        <v>8.1599999999999999E-4</v>
      </c>
      <c r="P75" s="31">
        <v>8.1599999999999999E-4</v>
      </c>
      <c r="Q75" s="28">
        <v>1</v>
      </c>
      <c r="R75" s="22" t="s">
        <v>208</v>
      </c>
      <c r="S75" s="22" t="s">
        <v>35</v>
      </c>
      <c r="T75" s="22">
        <v>1</v>
      </c>
    </row>
    <row r="76" spans="1:20" x14ac:dyDescent="0.3">
      <c r="B76" s="22" t="s">
        <v>209</v>
      </c>
      <c r="C76" s="22" t="s">
        <v>210</v>
      </c>
      <c r="D76" s="31">
        <v>3.9399999999999998E-2</v>
      </c>
      <c r="E76" s="25">
        <v>48396</v>
      </c>
      <c r="F76" s="22">
        <v>1187418</v>
      </c>
      <c r="G76" s="22">
        <v>1187418</v>
      </c>
      <c r="I76" s="44" t="s">
        <v>32</v>
      </c>
      <c r="J76" s="28">
        <v>0.3</v>
      </c>
      <c r="K76" s="28">
        <v>0</v>
      </c>
      <c r="L76" s="28" t="s">
        <v>33</v>
      </c>
      <c r="M76" s="34">
        <v>99.21</v>
      </c>
      <c r="N76" s="37">
        <v>0.29763000000000001</v>
      </c>
      <c r="O76" s="31">
        <v>0</v>
      </c>
      <c r="P76" s="31">
        <v>0</v>
      </c>
      <c r="Q76" s="28">
        <v>1</v>
      </c>
      <c r="R76" s="22" t="s">
        <v>211</v>
      </c>
      <c r="S76" s="22" t="s">
        <v>35</v>
      </c>
      <c r="T76" s="22">
        <v>1</v>
      </c>
    </row>
    <row r="77" spans="1:20" x14ac:dyDescent="0.3">
      <c r="B77" s="22" t="s">
        <v>212</v>
      </c>
      <c r="C77" s="22" t="s">
        <v>213</v>
      </c>
      <c r="D77" s="31">
        <v>8.9499999999999996E-2</v>
      </c>
      <c r="E77" s="25">
        <v>47757</v>
      </c>
      <c r="F77" s="22">
        <v>1233758</v>
      </c>
      <c r="G77" s="22">
        <v>1233758</v>
      </c>
      <c r="I77" s="44" t="s">
        <v>32</v>
      </c>
      <c r="J77" s="28">
        <v>100000</v>
      </c>
      <c r="K77" s="28">
        <v>0</v>
      </c>
      <c r="L77" s="28" t="s">
        <v>33</v>
      </c>
      <c r="M77" s="34">
        <v>103.31</v>
      </c>
      <c r="N77" s="37">
        <v>103310</v>
      </c>
      <c r="O77" s="31">
        <v>8.2899999999999998E-4</v>
      </c>
      <c r="P77" s="31">
        <v>8.2899999999999998E-4</v>
      </c>
      <c r="Q77" s="28">
        <v>1</v>
      </c>
      <c r="R77" s="22" t="s">
        <v>214</v>
      </c>
      <c r="S77" s="22" t="s">
        <v>35</v>
      </c>
      <c r="T77" s="22">
        <v>1</v>
      </c>
    </row>
    <row r="78" spans="1:20" ht="14.5" thickBot="1" x14ac:dyDescent="0.35">
      <c r="A78" s="42" t="s">
        <v>604</v>
      </c>
      <c r="B78" s="23"/>
      <c r="C78" s="23"/>
      <c r="D78" s="32"/>
      <c r="E78" s="26"/>
      <c r="F78" s="23"/>
      <c r="G78" s="23"/>
      <c r="H78" s="29"/>
      <c r="I78" s="45"/>
      <c r="J78" s="29"/>
      <c r="K78" s="29"/>
      <c r="L78" s="29"/>
      <c r="M78" s="35"/>
      <c r="N78" s="38">
        <f>SUM(N20:N77)</f>
        <v>29312059.599810008</v>
      </c>
      <c r="O78" s="32">
        <f>SUM(O20:O77)</f>
        <v>0.23535400000000001</v>
      </c>
      <c r="P78" s="32">
        <f>SUM(P20:P77)</f>
        <v>0.23535400000000001</v>
      </c>
      <c r="Q78" s="29"/>
      <c r="R78" s="23"/>
      <c r="S78" s="23"/>
    </row>
    <row r="79" spans="1:20" ht="18" x14ac:dyDescent="0.4">
      <c r="A79" s="40" t="s">
        <v>215</v>
      </c>
    </row>
    <row r="80" spans="1:20" x14ac:dyDescent="0.3">
      <c r="B80" s="22" t="s">
        <v>216</v>
      </c>
      <c r="C80" s="22" t="s">
        <v>217</v>
      </c>
      <c r="D80" s="31">
        <v>1.0500000000000001E-2</v>
      </c>
      <c r="E80" s="25">
        <v>46609</v>
      </c>
      <c r="F80" s="22">
        <v>1160670</v>
      </c>
      <c r="G80" s="22">
        <v>1160670</v>
      </c>
      <c r="I80" s="44" t="s">
        <v>32</v>
      </c>
      <c r="J80" s="28">
        <v>51962.09</v>
      </c>
      <c r="K80" s="28">
        <v>0</v>
      </c>
      <c r="L80" s="28" t="s">
        <v>33</v>
      </c>
      <c r="M80" s="34">
        <v>115.07</v>
      </c>
      <c r="N80" s="37">
        <v>59792.776960000003</v>
      </c>
      <c r="O80" s="31">
        <v>4.8000000000000001E-4</v>
      </c>
      <c r="P80" s="31">
        <v>4.8000000000000001E-4</v>
      </c>
      <c r="Q80" s="28">
        <v>1</v>
      </c>
      <c r="R80" s="22" t="s">
        <v>218</v>
      </c>
      <c r="S80" s="22" t="s">
        <v>35</v>
      </c>
      <c r="T80" s="22">
        <v>1</v>
      </c>
    </row>
    <row r="81" spans="1:20" x14ac:dyDescent="0.3">
      <c r="B81" s="22" t="s">
        <v>219</v>
      </c>
      <c r="C81" s="22" t="s">
        <v>201</v>
      </c>
      <c r="D81" s="31">
        <v>4.99E-2</v>
      </c>
      <c r="E81" s="25">
        <v>48487</v>
      </c>
      <c r="F81" s="22">
        <v>1223353</v>
      </c>
      <c r="G81" s="22">
        <v>1223353</v>
      </c>
      <c r="I81" s="44" t="s">
        <v>32</v>
      </c>
      <c r="J81" s="28">
        <v>2171643</v>
      </c>
      <c r="K81" s="28">
        <v>0</v>
      </c>
      <c r="L81" s="28" t="s">
        <v>33</v>
      </c>
      <c r="M81" s="34">
        <v>101.68</v>
      </c>
      <c r="N81" s="37">
        <v>2208126.6024000002</v>
      </c>
      <c r="O81" s="31">
        <v>1.7731E-2</v>
      </c>
      <c r="P81" s="31">
        <v>1.7731E-2</v>
      </c>
      <c r="Q81" s="28">
        <v>1</v>
      </c>
      <c r="R81" s="22" t="s">
        <v>220</v>
      </c>
      <c r="S81" s="22" t="s">
        <v>35</v>
      </c>
      <c r="T81" s="22">
        <v>1</v>
      </c>
    </row>
    <row r="82" spans="1:20" x14ac:dyDescent="0.3">
      <c r="B82" s="22" t="s">
        <v>221</v>
      </c>
      <c r="C82" s="22" t="s">
        <v>222</v>
      </c>
      <c r="D82" s="31">
        <v>2.07E-2</v>
      </c>
      <c r="E82" s="25">
        <v>56249</v>
      </c>
      <c r="F82" s="22">
        <v>1158476</v>
      </c>
      <c r="G82" s="22">
        <v>1158476</v>
      </c>
      <c r="I82" s="44" t="s">
        <v>32</v>
      </c>
      <c r="J82" s="28">
        <v>0.48</v>
      </c>
      <c r="K82" s="28">
        <v>0</v>
      </c>
      <c r="L82" s="28" t="s">
        <v>33</v>
      </c>
      <c r="M82" s="34">
        <v>107.84</v>
      </c>
      <c r="N82" s="37">
        <v>0.51763000000000003</v>
      </c>
      <c r="O82" s="31">
        <v>0</v>
      </c>
      <c r="P82" s="31">
        <v>0</v>
      </c>
      <c r="Q82" s="28">
        <v>1</v>
      </c>
      <c r="R82" s="22" t="s">
        <v>223</v>
      </c>
      <c r="S82" s="22" t="s">
        <v>35</v>
      </c>
      <c r="T82" s="22">
        <v>1</v>
      </c>
    </row>
    <row r="83" spans="1:20" x14ac:dyDescent="0.3">
      <c r="B83" s="22" t="s">
        <v>224</v>
      </c>
      <c r="C83" s="22" t="s">
        <v>135</v>
      </c>
      <c r="D83" s="31">
        <v>1.4800000000000001E-2</v>
      </c>
      <c r="E83" s="25">
        <v>46752</v>
      </c>
      <c r="F83" s="22">
        <v>1179340</v>
      </c>
      <c r="G83" s="22">
        <v>1179340</v>
      </c>
      <c r="I83" s="44" t="s">
        <v>32</v>
      </c>
      <c r="J83" s="28">
        <v>395314.49</v>
      </c>
      <c r="K83" s="28">
        <v>0</v>
      </c>
      <c r="L83" s="28" t="s">
        <v>33</v>
      </c>
      <c r="M83" s="34">
        <v>112.25</v>
      </c>
      <c r="N83" s="37">
        <v>443740.51503000001</v>
      </c>
      <c r="O83" s="31">
        <v>3.5630000000000002E-3</v>
      </c>
      <c r="P83" s="31">
        <v>3.5630000000000002E-3</v>
      </c>
      <c r="Q83" s="28">
        <v>1</v>
      </c>
      <c r="R83" s="22" t="s">
        <v>225</v>
      </c>
      <c r="S83" s="22" t="s">
        <v>35</v>
      </c>
      <c r="T83" s="22">
        <v>1</v>
      </c>
    </row>
    <row r="84" spans="1:20" x14ac:dyDescent="0.3">
      <c r="B84" s="22" t="s">
        <v>226</v>
      </c>
      <c r="C84" s="22" t="s">
        <v>227</v>
      </c>
      <c r="D84" s="31">
        <v>1.5800000000000002E-2</v>
      </c>
      <c r="E84" s="25">
        <v>46934</v>
      </c>
      <c r="F84" s="22">
        <v>1179134</v>
      </c>
      <c r="G84" s="22">
        <v>1179134</v>
      </c>
      <c r="I84" s="44" t="s">
        <v>32</v>
      </c>
      <c r="J84" s="28">
        <v>387595.59</v>
      </c>
      <c r="K84" s="28">
        <v>0</v>
      </c>
      <c r="L84" s="28" t="s">
        <v>33</v>
      </c>
      <c r="M84" s="34">
        <v>113.35</v>
      </c>
      <c r="N84" s="37">
        <v>439339.60126999998</v>
      </c>
      <c r="O84" s="31">
        <v>3.5270000000000002E-3</v>
      </c>
      <c r="P84" s="31">
        <v>3.5270000000000002E-3</v>
      </c>
      <c r="Q84" s="28">
        <v>1</v>
      </c>
      <c r="R84" s="22" t="s">
        <v>228</v>
      </c>
      <c r="S84" s="22" t="s">
        <v>35</v>
      </c>
      <c r="T84" s="22">
        <v>1</v>
      </c>
    </row>
    <row r="85" spans="1:20" x14ac:dyDescent="0.3">
      <c r="B85" s="22" t="s">
        <v>229</v>
      </c>
      <c r="C85" s="22" t="s">
        <v>230</v>
      </c>
      <c r="D85" s="31">
        <v>8.5000000000000006E-3</v>
      </c>
      <c r="E85" s="25">
        <v>47483</v>
      </c>
      <c r="F85" s="22">
        <v>1177658</v>
      </c>
      <c r="G85" s="22">
        <v>1177658</v>
      </c>
      <c r="I85" s="44" t="s">
        <v>32</v>
      </c>
      <c r="J85" s="28">
        <v>210472.2</v>
      </c>
      <c r="K85" s="28">
        <v>0</v>
      </c>
      <c r="L85" s="28" t="s">
        <v>33</v>
      </c>
      <c r="M85" s="34">
        <v>110.23</v>
      </c>
      <c r="N85" s="37">
        <v>232003.50606000001</v>
      </c>
      <c r="O85" s="31">
        <v>1.8630000000000001E-3</v>
      </c>
      <c r="P85" s="31">
        <v>1.8630000000000001E-3</v>
      </c>
      <c r="Q85" s="28">
        <v>1</v>
      </c>
      <c r="R85" s="22" t="s">
        <v>231</v>
      </c>
      <c r="S85" s="22" t="s">
        <v>35</v>
      </c>
      <c r="T85" s="22">
        <v>1</v>
      </c>
    </row>
    <row r="86" spans="1:20" x14ac:dyDescent="0.3">
      <c r="B86" s="22" t="s">
        <v>232</v>
      </c>
      <c r="C86" s="22" t="s">
        <v>230</v>
      </c>
      <c r="D86" s="31">
        <v>3.1800000000000002E-2</v>
      </c>
      <c r="E86" s="25">
        <v>48213</v>
      </c>
      <c r="F86" s="22">
        <v>1193929</v>
      </c>
      <c r="G86" s="22">
        <v>1193929</v>
      </c>
      <c r="I86" s="44" t="s">
        <v>32</v>
      </c>
      <c r="J86" s="28">
        <v>234542.5</v>
      </c>
      <c r="K86" s="28">
        <v>0</v>
      </c>
      <c r="L86" s="28" t="s">
        <v>33</v>
      </c>
      <c r="M86" s="34">
        <v>111.42</v>
      </c>
      <c r="N86" s="37">
        <v>261327.25349999999</v>
      </c>
      <c r="O86" s="31">
        <v>2.098E-3</v>
      </c>
      <c r="P86" s="31">
        <v>2.098E-3</v>
      </c>
      <c r="Q86" s="28">
        <v>1</v>
      </c>
      <c r="R86" s="22" t="s">
        <v>233</v>
      </c>
      <c r="S86" s="22" t="s">
        <v>35</v>
      </c>
      <c r="T86" s="22">
        <v>1</v>
      </c>
    </row>
    <row r="87" spans="1:20" x14ac:dyDescent="0.3">
      <c r="B87" s="22" t="s">
        <v>234</v>
      </c>
      <c r="C87" s="22" t="s">
        <v>235</v>
      </c>
      <c r="D87" s="31">
        <v>9.4000000000000004E-3</v>
      </c>
      <c r="E87" s="25">
        <v>47300</v>
      </c>
      <c r="F87" s="22">
        <v>1183193</v>
      </c>
      <c r="G87" s="22">
        <v>1183193</v>
      </c>
      <c r="I87" s="44" t="s">
        <v>32</v>
      </c>
      <c r="J87" s="28">
        <v>13.75</v>
      </c>
      <c r="K87" s="28">
        <v>0</v>
      </c>
      <c r="L87" s="28" t="s">
        <v>33</v>
      </c>
      <c r="M87" s="34">
        <v>106.01</v>
      </c>
      <c r="N87" s="37">
        <v>14.57638</v>
      </c>
      <c r="O87" s="31">
        <v>0</v>
      </c>
      <c r="P87" s="31">
        <v>0</v>
      </c>
      <c r="Q87" s="28">
        <v>1</v>
      </c>
      <c r="R87" s="22" t="s">
        <v>236</v>
      </c>
      <c r="S87" s="22" t="s">
        <v>35</v>
      </c>
      <c r="T87" s="22">
        <v>1</v>
      </c>
    </row>
    <row r="88" spans="1:20" x14ac:dyDescent="0.3">
      <c r="B88" s="22" t="s">
        <v>237</v>
      </c>
      <c r="C88" s="22" t="s">
        <v>238</v>
      </c>
      <c r="D88" s="31">
        <v>2.9499999999999998E-2</v>
      </c>
      <c r="E88" s="25">
        <v>46752</v>
      </c>
      <c r="F88" s="22">
        <v>1186246</v>
      </c>
      <c r="G88" s="22">
        <v>1186246</v>
      </c>
      <c r="I88" s="44" t="s">
        <v>32</v>
      </c>
      <c r="J88" s="28">
        <v>31261.919999999998</v>
      </c>
      <c r="K88" s="28">
        <v>0</v>
      </c>
      <c r="L88" s="28" t="s">
        <v>33</v>
      </c>
      <c r="M88" s="34">
        <v>112.81</v>
      </c>
      <c r="N88" s="37">
        <v>35266.571949999998</v>
      </c>
      <c r="O88" s="31">
        <v>2.8299999999999999E-4</v>
      </c>
      <c r="P88" s="31">
        <v>2.8299999999999999E-4</v>
      </c>
      <c r="Q88" s="28">
        <v>1</v>
      </c>
      <c r="R88" s="22" t="s">
        <v>239</v>
      </c>
      <c r="S88" s="22" t="s">
        <v>35</v>
      </c>
      <c r="T88" s="22">
        <v>1</v>
      </c>
    </row>
    <row r="89" spans="1:20" x14ac:dyDescent="0.3">
      <c r="B89" s="22" t="s">
        <v>240</v>
      </c>
      <c r="C89" s="22" t="s">
        <v>241</v>
      </c>
      <c r="D89" s="31">
        <v>1.15E-2</v>
      </c>
      <c r="E89" s="25">
        <v>49491</v>
      </c>
      <c r="F89" s="22">
        <v>1174556</v>
      </c>
      <c r="G89" s="22">
        <v>1174556</v>
      </c>
      <c r="I89" s="44" t="s">
        <v>32</v>
      </c>
      <c r="J89" s="28">
        <v>317726</v>
      </c>
      <c r="K89" s="28">
        <v>0</v>
      </c>
      <c r="L89" s="28" t="s">
        <v>33</v>
      </c>
      <c r="M89" s="34">
        <v>108.66</v>
      </c>
      <c r="N89" s="37">
        <v>345241.07160000002</v>
      </c>
      <c r="O89" s="31">
        <v>2.7720000000000002E-3</v>
      </c>
      <c r="P89" s="31">
        <v>2.7720000000000002E-3</v>
      </c>
      <c r="Q89" s="28">
        <v>1</v>
      </c>
      <c r="R89" s="22" t="s">
        <v>242</v>
      </c>
      <c r="S89" s="22" t="s">
        <v>35</v>
      </c>
      <c r="T89" s="22">
        <v>1</v>
      </c>
    </row>
    <row r="90" spans="1:20" x14ac:dyDescent="0.3">
      <c r="B90" s="22" t="s">
        <v>243</v>
      </c>
      <c r="C90" s="22" t="s">
        <v>244</v>
      </c>
      <c r="D90" s="31">
        <v>3.6799999999999999E-2</v>
      </c>
      <c r="E90" s="25">
        <v>48945</v>
      </c>
      <c r="F90" s="22">
        <v>1201896</v>
      </c>
      <c r="G90" s="22">
        <v>1201896</v>
      </c>
      <c r="I90" s="44" t="s">
        <v>32</v>
      </c>
      <c r="J90" s="28">
        <v>390538</v>
      </c>
      <c r="K90" s="28">
        <v>0</v>
      </c>
      <c r="L90" s="28" t="s">
        <v>33</v>
      </c>
      <c r="M90" s="34">
        <v>110.24</v>
      </c>
      <c r="N90" s="37">
        <v>430529.09120000002</v>
      </c>
      <c r="O90" s="31">
        <v>3.457E-3</v>
      </c>
      <c r="P90" s="31">
        <v>3.457E-3</v>
      </c>
      <c r="Q90" s="28">
        <v>1</v>
      </c>
      <c r="R90" s="22" t="s">
        <v>245</v>
      </c>
      <c r="S90" s="22" t="s">
        <v>35</v>
      </c>
      <c r="T90" s="22">
        <v>1</v>
      </c>
    </row>
    <row r="91" spans="1:20" x14ac:dyDescent="0.3">
      <c r="B91" s="22" t="s">
        <v>246</v>
      </c>
      <c r="C91" s="22" t="s">
        <v>247</v>
      </c>
      <c r="D91" s="31">
        <v>5.1499999999999997E-2</v>
      </c>
      <c r="E91" s="25">
        <v>50009</v>
      </c>
      <c r="F91" s="22">
        <v>1110915</v>
      </c>
      <c r="G91" s="22">
        <v>1110915</v>
      </c>
      <c r="I91" s="44" t="s">
        <v>32</v>
      </c>
      <c r="J91" s="28">
        <v>1267481.42</v>
      </c>
      <c r="K91" s="28">
        <v>0</v>
      </c>
      <c r="L91" s="28" t="s">
        <v>33</v>
      </c>
      <c r="M91" s="34">
        <v>154.66</v>
      </c>
      <c r="N91" s="37">
        <v>1960286.7641700001</v>
      </c>
      <c r="O91" s="31">
        <v>1.5741000000000002E-2</v>
      </c>
      <c r="P91" s="31">
        <v>1.5741000000000002E-2</v>
      </c>
      <c r="Q91" s="28">
        <v>1</v>
      </c>
      <c r="R91" s="22" t="s">
        <v>248</v>
      </c>
      <c r="S91" s="22" t="s">
        <v>35</v>
      </c>
      <c r="T91" s="22">
        <v>1</v>
      </c>
    </row>
    <row r="92" spans="1:20" x14ac:dyDescent="0.3">
      <c r="B92" s="22" t="s">
        <v>249</v>
      </c>
      <c r="C92" s="22" t="s">
        <v>250</v>
      </c>
      <c r="D92" s="31">
        <v>2.3900000000000001E-2</v>
      </c>
      <c r="E92" s="25">
        <v>48112</v>
      </c>
      <c r="F92" s="22">
        <v>6000285</v>
      </c>
      <c r="G92" s="22">
        <v>6000285</v>
      </c>
      <c r="I92" s="44" t="s">
        <v>32</v>
      </c>
      <c r="J92" s="28">
        <v>297388</v>
      </c>
      <c r="K92" s="28">
        <v>0</v>
      </c>
      <c r="L92" s="28" t="s">
        <v>33</v>
      </c>
      <c r="M92" s="34">
        <v>119.01</v>
      </c>
      <c r="N92" s="37">
        <v>353921.45880000002</v>
      </c>
      <c r="O92" s="31">
        <v>2.8419999999999999E-3</v>
      </c>
      <c r="P92" s="31">
        <v>2.8419999999999999E-3</v>
      </c>
      <c r="Q92" s="28">
        <v>1</v>
      </c>
      <c r="R92" s="22" t="s">
        <v>251</v>
      </c>
      <c r="S92" s="22" t="s">
        <v>35</v>
      </c>
      <c r="T92" s="22">
        <v>1</v>
      </c>
    </row>
    <row r="93" spans="1:20" x14ac:dyDescent="0.3">
      <c r="B93" s="22" t="s">
        <v>252</v>
      </c>
      <c r="C93" s="22" t="s">
        <v>250</v>
      </c>
      <c r="D93" s="31">
        <v>0.03</v>
      </c>
      <c r="E93" s="25">
        <v>48742</v>
      </c>
      <c r="F93" s="22">
        <v>1196781</v>
      </c>
      <c r="G93" s="22">
        <v>1196781</v>
      </c>
      <c r="I93" s="44" t="s">
        <v>32</v>
      </c>
      <c r="J93" s="28">
        <v>347860</v>
      </c>
      <c r="K93" s="28">
        <v>0</v>
      </c>
      <c r="L93" s="28" t="s">
        <v>33</v>
      </c>
      <c r="M93" s="34">
        <v>111.57</v>
      </c>
      <c r="N93" s="37">
        <v>388107.402</v>
      </c>
      <c r="O93" s="31">
        <v>3.1159999999999998E-3</v>
      </c>
      <c r="P93" s="31">
        <v>3.1159999999999998E-3</v>
      </c>
      <c r="Q93" s="28">
        <v>1</v>
      </c>
      <c r="R93" s="22" t="s">
        <v>253</v>
      </c>
      <c r="S93" s="22" t="s">
        <v>35</v>
      </c>
      <c r="T93" s="22">
        <v>1</v>
      </c>
    </row>
    <row r="94" spans="1:20" x14ac:dyDescent="0.3">
      <c r="B94" s="22" t="s">
        <v>254</v>
      </c>
      <c r="C94" s="22" t="s">
        <v>255</v>
      </c>
      <c r="D94" s="31">
        <v>1.7999999999999999E-2</v>
      </c>
      <c r="E94" s="25">
        <v>48121</v>
      </c>
      <c r="F94" s="22">
        <v>1184951</v>
      </c>
      <c r="G94" s="22">
        <v>1184951</v>
      </c>
      <c r="I94" s="44" t="s">
        <v>32</v>
      </c>
      <c r="J94" s="28">
        <v>364534.97</v>
      </c>
      <c r="K94" s="28">
        <v>0</v>
      </c>
      <c r="L94" s="28" t="s">
        <v>33</v>
      </c>
      <c r="M94" s="34">
        <v>114.26</v>
      </c>
      <c r="N94" s="37">
        <v>416517.65672000003</v>
      </c>
      <c r="O94" s="31">
        <v>3.3440000000000002E-3</v>
      </c>
      <c r="P94" s="31">
        <v>3.3440000000000002E-3</v>
      </c>
      <c r="Q94" s="28">
        <v>1</v>
      </c>
      <c r="R94" s="22" t="s">
        <v>256</v>
      </c>
      <c r="S94" s="22" t="s">
        <v>35</v>
      </c>
      <c r="T94" s="22">
        <v>1</v>
      </c>
    </row>
    <row r="95" spans="1:20" x14ac:dyDescent="0.3">
      <c r="B95" s="22" t="s">
        <v>257</v>
      </c>
      <c r="C95" s="22" t="s">
        <v>255</v>
      </c>
      <c r="D95" s="31">
        <v>3.3000000000000002E-2</v>
      </c>
      <c r="E95" s="25">
        <v>49218</v>
      </c>
      <c r="F95" s="22">
        <v>1193598</v>
      </c>
      <c r="G95" s="22">
        <v>1193598</v>
      </c>
      <c r="I95" s="44" t="s">
        <v>32</v>
      </c>
      <c r="J95" s="28">
        <v>1030348.28</v>
      </c>
      <c r="K95" s="28">
        <v>0</v>
      </c>
      <c r="L95" s="28" t="s">
        <v>33</v>
      </c>
      <c r="M95" s="34">
        <v>110.96</v>
      </c>
      <c r="N95" s="37">
        <v>1143274.4514899999</v>
      </c>
      <c r="O95" s="31">
        <v>9.1800000000000007E-3</v>
      </c>
      <c r="P95" s="31">
        <v>9.1800000000000007E-3</v>
      </c>
      <c r="Q95" s="28">
        <v>1</v>
      </c>
      <c r="R95" s="22" t="s">
        <v>258</v>
      </c>
      <c r="S95" s="22" t="s">
        <v>35</v>
      </c>
      <c r="T95" s="22">
        <v>1</v>
      </c>
    </row>
    <row r="96" spans="1:20" ht="14.5" thickBot="1" x14ac:dyDescent="0.35">
      <c r="A96" s="42" t="s">
        <v>605</v>
      </c>
      <c r="B96" s="23"/>
      <c r="C96" s="23"/>
      <c r="D96" s="32"/>
      <c r="E96" s="26"/>
      <c r="F96" s="23"/>
      <c r="G96" s="23"/>
      <c r="H96" s="29"/>
      <c r="I96" s="45"/>
      <c r="J96" s="29"/>
      <c r="K96" s="29"/>
      <c r="L96" s="29"/>
      <c r="M96" s="35"/>
      <c r="N96" s="38">
        <f>SUM(N80:N95)</f>
        <v>8717489.8171599992</v>
      </c>
      <c r="O96" s="32">
        <f>SUM(O80:O95)</f>
        <v>6.9997000000000004E-2</v>
      </c>
      <c r="P96" s="32">
        <f>SUM(P80:P95)</f>
        <v>6.9997000000000004E-2</v>
      </c>
      <c r="Q96" s="29"/>
      <c r="R96" s="23"/>
      <c r="S96" s="23"/>
    </row>
    <row r="97" spans="1:20" ht="18" x14ac:dyDescent="0.4">
      <c r="A97" s="40" t="s">
        <v>259</v>
      </c>
    </row>
    <row r="98" spans="1:20" x14ac:dyDescent="0.3">
      <c r="B98" s="22" t="s">
        <v>260</v>
      </c>
      <c r="C98" s="22" t="s">
        <v>261</v>
      </c>
      <c r="D98" s="31">
        <v>3.85E-2</v>
      </c>
      <c r="E98" s="25">
        <v>46387</v>
      </c>
      <c r="F98" s="22">
        <v>6270193</v>
      </c>
      <c r="G98" s="22">
        <v>6270193</v>
      </c>
      <c r="I98" s="44" t="s">
        <v>32</v>
      </c>
      <c r="J98" s="28">
        <v>150000</v>
      </c>
      <c r="K98" s="28">
        <v>0</v>
      </c>
      <c r="L98" s="28" t="s">
        <v>33</v>
      </c>
      <c r="M98" s="34">
        <v>85.59</v>
      </c>
      <c r="N98" s="37">
        <v>128385</v>
      </c>
      <c r="O98" s="31">
        <v>1.0300000000000001E-3</v>
      </c>
      <c r="P98" s="31">
        <v>1.0300000000000001E-3</v>
      </c>
      <c r="Q98" s="28">
        <v>1</v>
      </c>
      <c r="R98" s="22" t="s">
        <v>262</v>
      </c>
      <c r="S98" s="22" t="s">
        <v>35</v>
      </c>
      <c r="T98" s="22">
        <v>1</v>
      </c>
    </row>
    <row r="99" spans="1:20" x14ac:dyDescent="0.3">
      <c r="B99" s="22" t="s">
        <v>263</v>
      </c>
      <c r="C99" s="22" t="s">
        <v>80</v>
      </c>
      <c r="D99" s="31">
        <v>2.12E-2</v>
      </c>
      <c r="E99" s="25">
        <v>47300</v>
      </c>
      <c r="F99" s="22">
        <v>1178250</v>
      </c>
      <c r="G99" s="22">
        <v>1178250</v>
      </c>
      <c r="I99" s="44" t="s">
        <v>32</v>
      </c>
      <c r="J99" s="28">
        <v>80712</v>
      </c>
      <c r="K99" s="28">
        <v>0</v>
      </c>
      <c r="L99" s="28" t="s">
        <v>33</v>
      </c>
      <c r="M99" s="34">
        <v>91.81</v>
      </c>
      <c r="N99" s="37">
        <v>74101.6872</v>
      </c>
      <c r="O99" s="31">
        <v>5.9500000000000004E-4</v>
      </c>
      <c r="P99" s="31">
        <v>5.9500000000000004E-4</v>
      </c>
      <c r="Q99" s="28">
        <v>1</v>
      </c>
      <c r="R99" s="22" t="s">
        <v>264</v>
      </c>
      <c r="S99" s="22" t="s">
        <v>35</v>
      </c>
      <c r="T99" s="22">
        <v>1</v>
      </c>
    </row>
    <row r="100" spans="1:20" x14ac:dyDescent="0.3">
      <c r="B100" s="22" t="s">
        <v>265</v>
      </c>
      <c r="C100" s="22" t="s">
        <v>80</v>
      </c>
      <c r="D100" s="31">
        <v>2.6700000000000002E-2</v>
      </c>
      <c r="E100" s="25">
        <v>49491</v>
      </c>
      <c r="F100" s="22">
        <v>1178268</v>
      </c>
      <c r="G100" s="22">
        <v>1178268</v>
      </c>
      <c r="I100" s="44" t="s">
        <v>32</v>
      </c>
      <c r="J100" s="28">
        <v>91489</v>
      </c>
      <c r="K100" s="28">
        <v>0</v>
      </c>
      <c r="L100" s="28" t="s">
        <v>33</v>
      </c>
      <c r="M100" s="34">
        <v>89.62</v>
      </c>
      <c r="N100" s="37">
        <v>81992.441800000001</v>
      </c>
      <c r="O100" s="31">
        <v>6.5799999999999995E-4</v>
      </c>
      <c r="P100" s="31">
        <v>6.5799999999999995E-4</v>
      </c>
      <c r="Q100" s="28">
        <v>1</v>
      </c>
      <c r="R100" s="22" t="s">
        <v>266</v>
      </c>
      <c r="S100" s="22" t="s">
        <v>35</v>
      </c>
      <c r="T100" s="22">
        <v>1</v>
      </c>
    </row>
    <row r="101" spans="1:20" x14ac:dyDescent="0.3">
      <c r="B101" s="22" t="s">
        <v>267</v>
      </c>
      <c r="C101" s="22" t="s">
        <v>268</v>
      </c>
      <c r="D101" s="31">
        <v>5.7000000000000002E-2</v>
      </c>
      <c r="E101" s="25">
        <v>47422</v>
      </c>
      <c r="F101" s="22">
        <v>1178144</v>
      </c>
      <c r="G101" s="22">
        <v>1178144</v>
      </c>
      <c r="I101" s="44" t="s">
        <v>32</v>
      </c>
      <c r="J101" s="28">
        <v>434875.84</v>
      </c>
      <c r="K101" s="28">
        <v>0</v>
      </c>
      <c r="L101" s="28" t="s">
        <v>33</v>
      </c>
      <c r="M101" s="34">
        <v>97</v>
      </c>
      <c r="N101" s="37">
        <v>421829.56479999999</v>
      </c>
      <c r="O101" s="31">
        <v>3.3869999999999998E-3</v>
      </c>
      <c r="P101" s="31">
        <v>3.3869999999999998E-3</v>
      </c>
      <c r="Q101" s="28">
        <v>1</v>
      </c>
      <c r="R101" s="22" t="s">
        <v>269</v>
      </c>
      <c r="S101" s="22" t="s">
        <v>35</v>
      </c>
      <c r="T101" s="22">
        <v>1</v>
      </c>
    </row>
    <row r="102" spans="1:20" x14ac:dyDescent="0.3">
      <c r="B102" s="22" t="s">
        <v>270</v>
      </c>
      <c r="C102" s="22" t="s">
        <v>271</v>
      </c>
      <c r="D102" s="31">
        <v>4.7199999999999999E-2</v>
      </c>
      <c r="E102" s="25">
        <v>46446</v>
      </c>
      <c r="F102" s="22">
        <v>1184167</v>
      </c>
      <c r="G102" s="22">
        <v>1184167</v>
      </c>
      <c r="I102" s="44" t="s">
        <v>32</v>
      </c>
      <c r="J102" s="28">
        <v>974438</v>
      </c>
      <c r="K102" s="28">
        <v>0</v>
      </c>
      <c r="L102" s="28" t="s">
        <v>33</v>
      </c>
      <c r="M102" s="34">
        <v>96.08</v>
      </c>
      <c r="N102" s="37">
        <v>936240.03040000005</v>
      </c>
      <c r="O102" s="31">
        <v>7.5180000000000004E-3</v>
      </c>
      <c r="P102" s="31">
        <v>7.5180000000000004E-3</v>
      </c>
      <c r="Q102" s="28">
        <v>1</v>
      </c>
      <c r="R102" s="22" t="s">
        <v>272</v>
      </c>
      <c r="S102" s="22" t="s">
        <v>35</v>
      </c>
      <c r="T102" s="22">
        <v>1</v>
      </c>
    </row>
    <row r="103" spans="1:20" x14ac:dyDescent="0.3">
      <c r="B103" s="22" t="s">
        <v>273</v>
      </c>
      <c r="C103" s="22" t="s">
        <v>274</v>
      </c>
      <c r="D103" s="31">
        <v>4.6899999999999997E-2</v>
      </c>
      <c r="E103" s="25">
        <v>46995</v>
      </c>
      <c r="F103" s="22">
        <v>1141332</v>
      </c>
      <c r="G103" s="22">
        <v>1141332</v>
      </c>
      <c r="I103" s="44" t="s">
        <v>32</v>
      </c>
      <c r="J103" s="28">
        <v>1865983.45</v>
      </c>
      <c r="K103" s="28">
        <v>0</v>
      </c>
      <c r="L103" s="28" t="s">
        <v>33</v>
      </c>
      <c r="M103" s="34">
        <v>87.56</v>
      </c>
      <c r="N103" s="37">
        <v>1633855.10882</v>
      </c>
      <c r="O103" s="31">
        <v>1.312E-2</v>
      </c>
      <c r="P103" s="31">
        <v>1.312E-2</v>
      </c>
      <c r="Q103" s="28">
        <v>1</v>
      </c>
      <c r="R103" s="22" t="s">
        <v>275</v>
      </c>
      <c r="S103" s="22" t="s">
        <v>35</v>
      </c>
      <c r="T103" s="22">
        <v>1</v>
      </c>
    </row>
    <row r="104" spans="1:20" ht="14.5" thickBot="1" x14ac:dyDescent="0.35">
      <c r="A104" s="43" t="s">
        <v>606</v>
      </c>
      <c r="B104" s="24"/>
      <c r="C104" s="24"/>
      <c r="D104" s="33"/>
      <c r="E104" s="27"/>
      <c r="F104" s="24"/>
      <c r="G104" s="24"/>
      <c r="H104" s="30"/>
      <c r="I104" s="46"/>
      <c r="J104" s="30"/>
      <c r="K104" s="30"/>
      <c r="L104" s="30"/>
      <c r="M104" s="36"/>
      <c r="N104" s="39">
        <f>SUM(N98:N103)</f>
        <v>3276403.8330199998</v>
      </c>
      <c r="O104" s="33">
        <f>SUM(O98:O103)</f>
        <v>2.6307999999999998E-2</v>
      </c>
      <c r="P104" s="33">
        <f>SUM(P98:P103)</f>
        <v>2.6307999999999998E-2</v>
      </c>
      <c r="Q104" s="30"/>
      <c r="R104" s="24"/>
      <c r="S104" s="24"/>
    </row>
    <row r="105" spans="1:20" x14ac:dyDescent="0.3">
      <c r="A105" s="41" t="s">
        <v>607</v>
      </c>
      <c r="N105" s="37">
        <f>SUMIF(T:T,1,N:N)</f>
        <v>42830570.626580015</v>
      </c>
      <c r="O105" s="31">
        <f>SUMIF(T:T,1,O:O)</f>
        <v>0.34390000000000004</v>
      </c>
      <c r="P105" s="31">
        <f>SUMIF(T:T,1,P:P)</f>
        <v>0.34390000000000004</v>
      </c>
      <c r="T105" s="22">
        <v>-99</v>
      </c>
    </row>
    <row r="106" spans="1:20" ht="18" x14ac:dyDescent="0.4">
      <c r="A106" s="40" t="s">
        <v>608</v>
      </c>
    </row>
    <row r="107" spans="1:20" ht="18" x14ac:dyDescent="0.4">
      <c r="A107" s="40" t="s">
        <v>278</v>
      </c>
    </row>
    <row r="108" spans="1:20" x14ac:dyDescent="0.3">
      <c r="B108" s="22" t="s">
        <v>279</v>
      </c>
      <c r="C108" s="22" t="s">
        <v>280</v>
      </c>
      <c r="F108" s="22">
        <v>130013</v>
      </c>
      <c r="G108" s="22">
        <v>130013</v>
      </c>
      <c r="I108" s="44" t="s">
        <v>32</v>
      </c>
      <c r="J108" s="28">
        <v>61559</v>
      </c>
      <c r="K108" s="28">
        <v>0</v>
      </c>
      <c r="L108" s="28" t="s">
        <v>33</v>
      </c>
      <c r="M108" s="34">
        <v>3960</v>
      </c>
      <c r="N108" s="37">
        <v>2437736.4</v>
      </c>
      <c r="O108" s="31">
        <v>1.9574999999999999E-2</v>
      </c>
      <c r="P108" s="31">
        <v>1.9574999999999999E-2</v>
      </c>
      <c r="Q108" s="28">
        <v>1</v>
      </c>
      <c r="R108" s="22" t="s">
        <v>281</v>
      </c>
      <c r="S108" s="22" t="s">
        <v>35</v>
      </c>
      <c r="T108" s="22">
        <v>2</v>
      </c>
    </row>
    <row r="109" spans="1:20" x14ac:dyDescent="0.3">
      <c r="B109" s="22" t="s">
        <v>282</v>
      </c>
      <c r="C109" s="22" t="s">
        <v>283</v>
      </c>
      <c r="F109" s="22">
        <v>168013</v>
      </c>
      <c r="G109" s="22">
        <v>168013</v>
      </c>
      <c r="I109" s="44" t="s">
        <v>32</v>
      </c>
      <c r="J109" s="28">
        <v>1291</v>
      </c>
      <c r="K109" s="28">
        <v>0</v>
      </c>
      <c r="L109" s="28" t="s">
        <v>33</v>
      </c>
      <c r="M109" s="34">
        <v>28720</v>
      </c>
      <c r="N109" s="37">
        <v>370775.2</v>
      </c>
      <c r="O109" s="31">
        <v>2.977E-3</v>
      </c>
      <c r="P109" s="31">
        <v>2.977E-3</v>
      </c>
      <c r="Q109" s="28">
        <v>1</v>
      </c>
      <c r="R109" s="22" t="s">
        <v>284</v>
      </c>
      <c r="S109" s="22" t="s">
        <v>35</v>
      </c>
      <c r="T109" s="22">
        <v>2</v>
      </c>
    </row>
    <row r="110" spans="1:20" x14ac:dyDescent="0.3">
      <c r="B110" s="22" t="s">
        <v>285</v>
      </c>
      <c r="C110" s="22" t="s">
        <v>286</v>
      </c>
      <c r="F110" s="22">
        <v>1147685</v>
      </c>
      <c r="G110" s="22">
        <v>1147685</v>
      </c>
      <c r="I110" s="44" t="s">
        <v>32</v>
      </c>
      <c r="J110" s="28">
        <v>19779</v>
      </c>
      <c r="K110" s="28">
        <v>0</v>
      </c>
      <c r="L110" s="28" t="s">
        <v>33</v>
      </c>
      <c r="M110" s="34">
        <v>1795</v>
      </c>
      <c r="N110" s="37">
        <v>355033.05</v>
      </c>
      <c r="O110" s="31">
        <v>2.8500000000000001E-3</v>
      </c>
      <c r="P110" s="31">
        <v>2.8500000000000001E-3</v>
      </c>
      <c r="Q110" s="28">
        <v>1</v>
      </c>
      <c r="R110" s="22" t="s">
        <v>287</v>
      </c>
      <c r="S110" s="22" t="s">
        <v>35</v>
      </c>
      <c r="T110" s="22">
        <v>2</v>
      </c>
    </row>
    <row r="111" spans="1:20" ht="14.5" thickBot="1" x14ac:dyDescent="0.35">
      <c r="A111" s="42" t="s">
        <v>609</v>
      </c>
      <c r="B111" s="23"/>
      <c r="C111" s="23"/>
      <c r="D111" s="32"/>
      <c r="E111" s="26"/>
      <c r="F111" s="23"/>
      <c r="G111" s="23"/>
      <c r="H111" s="29"/>
      <c r="I111" s="45"/>
      <c r="J111" s="29"/>
      <c r="K111" s="29"/>
      <c r="L111" s="29"/>
      <c r="M111" s="35"/>
      <c r="N111" s="38">
        <f>SUM(N108:N110)</f>
        <v>3163544.65</v>
      </c>
      <c r="O111" s="32">
        <f>SUM(O108:O110)</f>
        <v>2.5402000000000001E-2</v>
      </c>
      <c r="P111" s="32">
        <f>SUM(P108:P110)</f>
        <v>2.5402000000000001E-2</v>
      </c>
      <c r="Q111" s="29"/>
      <c r="R111" s="23"/>
      <c r="S111" s="23"/>
    </row>
    <row r="112" spans="1:20" ht="18" x14ac:dyDescent="0.4">
      <c r="A112" s="40" t="s">
        <v>288</v>
      </c>
    </row>
    <row r="113" spans="1:20" x14ac:dyDescent="0.3">
      <c r="B113" s="22" t="s">
        <v>289</v>
      </c>
      <c r="C113" s="22" t="s">
        <v>290</v>
      </c>
      <c r="F113" s="22">
        <v>315010</v>
      </c>
      <c r="G113" s="22">
        <v>315010</v>
      </c>
      <c r="I113" s="44" t="s">
        <v>32</v>
      </c>
      <c r="J113" s="28">
        <v>471</v>
      </c>
      <c r="K113" s="28">
        <v>0</v>
      </c>
      <c r="L113" s="28" t="s">
        <v>33</v>
      </c>
      <c r="M113" s="34">
        <v>27150</v>
      </c>
      <c r="N113" s="37">
        <v>127876.5</v>
      </c>
      <c r="O113" s="31">
        <v>1.026E-3</v>
      </c>
      <c r="P113" s="31">
        <v>1.026E-3</v>
      </c>
      <c r="Q113" s="28">
        <v>1</v>
      </c>
      <c r="R113" s="22" t="s">
        <v>291</v>
      </c>
      <c r="S113" s="22" t="s">
        <v>35</v>
      </c>
      <c r="T113" s="22">
        <v>2</v>
      </c>
    </row>
    <row r="114" spans="1:20" ht="14.5" thickBot="1" x14ac:dyDescent="0.35">
      <c r="A114" s="42" t="s">
        <v>610</v>
      </c>
      <c r="B114" s="23"/>
      <c r="C114" s="23"/>
      <c r="D114" s="32"/>
      <c r="E114" s="26"/>
      <c r="F114" s="23"/>
      <c r="G114" s="23"/>
      <c r="H114" s="29"/>
      <c r="I114" s="45"/>
      <c r="J114" s="29"/>
      <c r="K114" s="29"/>
      <c r="L114" s="29"/>
      <c r="M114" s="35"/>
      <c r="N114" s="38">
        <f>SUM(N113:N113)</f>
        <v>127876.5</v>
      </c>
      <c r="O114" s="32">
        <f>SUM(O113:O113)</f>
        <v>1.026E-3</v>
      </c>
      <c r="P114" s="32">
        <f>SUM(P113:P113)</f>
        <v>1.026E-3</v>
      </c>
      <c r="Q114" s="29"/>
      <c r="R114" s="23"/>
      <c r="S114" s="23"/>
    </row>
    <row r="115" spans="1:20" ht="18" x14ac:dyDescent="0.4">
      <c r="A115" s="40" t="s">
        <v>292</v>
      </c>
    </row>
    <row r="116" spans="1:20" x14ac:dyDescent="0.3">
      <c r="B116" s="22" t="s">
        <v>293</v>
      </c>
      <c r="C116" s="22" t="s">
        <v>294</v>
      </c>
      <c r="F116" s="22">
        <v>442012</v>
      </c>
      <c r="G116" s="22">
        <v>442012</v>
      </c>
      <c r="I116" s="44" t="s">
        <v>32</v>
      </c>
      <c r="J116" s="28">
        <v>1030</v>
      </c>
      <c r="K116" s="28">
        <v>0</v>
      </c>
      <c r="L116" s="28" t="s">
        <v>33</v>
      </c>
      <c r="M116" s="34">
        <v>4417</v>
      </c>
      <c r="N116" s="37">
        <v>45495.1</v>
      </c>
      <c r="O116" s="31">
        <v>3.6499999999999998E-4</v>
      </c>
      <c r="P116" s="31">
        <v>3.6499999999999998E-4</v>
      </c>
      <c r="Q116" s="28">
        <v>1</v>
      </c>
      <c r="R116" s="22" t="s">
        <v>295</v>
      </c>
      <c r="S116" s="22" t="s">
        <v>35</v>
      </c>
      <c r="T116" s="22">
        <v>2</v>
      </c>
    </row>
    <row r="117" spans="1:20" x14ac:dyDescent="0.3">
      <c r="B117" s="22" t="s">
        <v>296</v>
      </c>
      <c r="C117" s="22" t="s">
        <v>297</v>
      </c>
      <c r="F117" s="22">
        <v>1091651</v>
      </c>
      <c r="G117" s="22">
        <v>1091651</v>
      </c>
      <c r="I117" s="44" t="s">
        <v>32</v>
      </c>
      <c r="J117" s="28">
        <v>1456</v>
      </c>
      <c r="K117" s="28">
        <v>0</v>
      </c>
      <c r="L117" s="28" t="s">
        <v>33</v>
      </c>
      <c r="M117" s="34">
        <v>4951</v>
      </c>
      <c r="N117" s="37">
        <v>72086.559999999998</v>
      </c>
      <c r="O117" s="31">
        <v>5.7799999999999995E-4</v>
      </c>
      <c r="P117" s="31">
        <v>5.7799999999999995E-4</v>
      </c>
      <c r="Q117" s="28">
        <v>1</v>
      </c>
      <c r="R117" s="22" t="s">
        <v>298</v>
      </c>
      <c r="S117" s="22" t="s">
        <v>35</v>
      </c>
      <c r="T117" s="22">
        <v>2</v>
      </c>
    </row>
    <row r="118" spans="1:20" x14ac:dyDescent="0.3">
      <c r="B118" s="22" t="s">
        <v>299</v>
      </c>
      <c r="C118" s="22" t="s">
        <v>300</v>
      </c>
      <c r="F118" s="22">
        <v>1091685</v>
      </c>
      <c r="G118" s="22">
        <v>1091685</v>
      </c>
      <c r="I118" s="44" t="s">
        <v>32</v>
      </c>
      <c r="J118" s="28">
        <v>274944</v>
      </c>
      <c r="K118" s="28">
        <v>0</v>
      </c>
      <c r="L118" s="28" t="s">
        <v>33</v>
      </c>
      <c r="M118" s="34">
        <v>1461</v>
      </c>
      <c r="N118" s="37">
        <v>4016931.84</v>
      </c>
      <c r="O118" s="31">
        <v>3.2256E-2</v>
      </c>
      <c r="P118" s="31">
        <v>3.2256E-2</v>
      </c>
      <c r="Q118" s="28">
        <v>1</v>
      </c>
      <c r="R118" s="22" t="s">
        <v>301</v>
      </c>
      <c r="S118" s="22" t="s">
        <v>35</v>
      </c>
      <c r="T118" s="22">
        <v>2</v>
      </c>
    </row>
    <row r="119" spans="1:20" x14ac:dyDescent="0.3">
      <c r="B119" s="22" t="s">
        <v>302</v>
      </c>
      <c r="C119" s="22" t="s">
        <v>303</v>
      </c>
      <c r="F119" s="22">
        <v>354019</v>
      </c>
      <c r="G119" s="22">
        <v>354019</v>
      </c>
      <c r="I119" s="44" t="s">
        <v>32</v>
      </c>
      <c r="J119" s="28">
        <v>579</v>
      </c>
      <c r="K119" s="28">
        <v>0</v>
      </c>
      <c r="L119" s="28" t="s">
        <v>33</v>
      </c>
      <c r="M119" s="34">
        <v>22500</v>
      </c>
      <c r="N119" s="37">
        <v>130275</v>
      </c>
      <c r="O119" s="31">
        <v>1.0460000000000001E-3</v>
      </c>
      <c r="P119" s="31">
        <v>1.0460000000000001E-3</v>
      </c>
      <c r="Q119" s="28">
        <v>1</v>
      </c>
      <c r="R119" s="22" t="s">
        <v>304</v>
      </c>
      <c r="S119" s="22" t="s">
        <v>35</v>
      </c>
      <c r="T119" s="22">
        <v>2</v>
      </c>
    </row>
    <row r="120" spans="1:20" x14ac:dyDescent="0.3">
      <c r="B120" s="22" t="s">
        <v>305</v>
      </c>
      <c r="C120" s="22" t="s">
        <v>306</v>
      </c>
      <c r="F120" s="22">
        <v>1083831</v>
      </c>
      <c r="G120" s="22">
        <v>1083831</v>
      </c>
      <c r="I120" s="44" t="s">
        <v>32</v>
      </c>
      <c r="J120" s="28">
        <v>5932</v>
      </c>
      <c r="K120" s="28">
        <v>0</v>
      </c>
      <c r="L120" s="28" t="s">
        <v>33</v>
      </c>
      <c r="M120" s="34">
        <v>2347</v>
      </c>
      <c r="N120" s="37">
        <v>139224.04</v>
      </c>
      <c r="O120" s="31">
        <v>1.1169999999999999E-3</v>
      </c>
      <c r="P120" s="31">
        <v>1.1169999999999999E-3</v>
      </c>
      <c r="Q120" s="28">
        <v>1</v>
      </c>
      <c r="R120" s="22" t="s">
        <v>307</v>
      </c>
      <c r="S120" s="22" t="s">
        <v>35</v>
      </c>
      <c r="T120" s="22">
        <v>2</v>
      </c>
    </row>
    <row r="121" spans="1:20" ht="14.5" thickBot="1" x14ac:dyDescent="0.35">
      <c r="A121" s="42" t="s">
        <v>611</v>
      </c>
      <c r="B121" s="23"/>
      <c r="C121" s="23"/>
      <c r="D121" s="32"/>
      <c r="E121" s="26"/>
      <c r="F121" s="23"/>
      <c r="G121" s="23"/>
      <c r="H121" s="29"/>
      <c r="I121" s="45"/>
      <c r="J121" s="29"/>
      <c r="K121" s="29"/>
      <c r="L121" s="29"/>
      <c r="M121" s="35"/>
      <c r="N121" s="38">
        <f>SUM(N116:N120)</f>
        <v>4404012.54</v>
      </c>
      <c r="O121" s="32">
        <f>SUM(O116:O120)</f>
        <v>3.5361999999999998E-2</v>
      </c>
      <c r="P121" s="32">
        <f>SUM(P116:P120)</f>
        <v>3.5361999999999998E-2</v>
      </c>
      <c r="Q121" s="29"/>
      <c r="R121" s="23"/>
      <c r="S121" s="23"/>
    </row>
    <row r="122" spans="1:20" ht="18" x14ac:dyDescent="0.4">
      <c r="A122" s="40" t="s">
        <v>308</v>
      </c>
    </row>
    <row r="123" spans="1:20" x14ac:dyDescent="0.3">
      <c r="B123" s="22" t="s">
        <v>309</v>
      </c>
      <c r="C123" s="22" t="s">
        <v>121</v>
      </c>
      <c r="F123" s="22">
        <v>2590248</v>
      </c>
      <c r="G123" s="22">
        <v>2590248</v>
      </c>
      <c r="I123" s="44" t="s">
        <v>32</v>
      </c>
      <c r="J123" s="28">
        <v>917025</v>
      </c>
      <c r="K123" s="28">
        <v>0</v>
      </c>
      <c r="L123" s="28" t="s">
        <v>33</v>
      </c>
      <c r="M123" s="34">
        <v>102.1</v>
      </c>
      <c r="N123" s="37">
        <v>936282.52500000002</v>
      </c>
      <c r="O123" s="31">
        <v>7.5180000000000004E-3</v>
      </c>
      <c r="P123" s="31">
        <v>7.5180000000000004E-3</v>
      </c>
      <c r="Q123" s="28">
        <v>1</v>
      </c>
      <c r="R123" s="22" t="s">
        <v>310</v>
      </c>
      <c r="S123" s="22" t="s">
        <v>35</v>
      </c>
      <c r="T123" s="22">
        <v>2</v>
      </c>
    </row>
    <row r="124" spans="1:20" x14ac:dyDescent="0.3">
      <c r="B124" s="22" t="s">
        <v>311</v>
      </c>
      <c r="C124" s="22" t="s">
        <v>105</v>
      </c>
      <c r="F124" s="22">
        <v>1198910</v>
      </c>
      <c r="G124" s="22">
        <v>1198910</v>
      </c>
      <c r="I124" s="44" t="s">
        <v>32</v>
      </c>
      <c r="J124" s="28">
        <v>10632</v>
      </c>
      <c r="K124" s="28">
        <v>0</v>
      </c>
      <c r="L124" s="28" t="s">
        <v>33</v>
      </c>
      <c r="M124" s="34">
        <v>5700</v>
      </c>
      <c r="N124" s="37">
        <v>606024</v>
      </c>
      <c r="O124" s="31">
        <v>4.8659999999999997E-3</v>
      </c>
      <c r="P124" s="31">
        <v>4.8659999999999997E-3</v>
      </c>
      <c r="Q124" s="28">
        <v>1</v>
      </c>
      <c r="R124" s="22" t="s">
        <v>312</v>
      </c>
      <c r="S124" s="22" t="s">
        <v>35</v>
      </c>
      <c r="T124" s="22">
        <v>2</v>
      </c>
    </row>
    <row r="125" spans="1:20" ht="14.5" thickBot="1" x14ac:dyDescent="0.35">
      <c r="A125" s="42" t="s">
        <v>612</v>
      </c>
      <c r="B125" s="23"/>
      <c r="C125" s="23"/>
      <c r="D125" s="32"/>
      <c r="E125" s="26"/>
      <c r="F125" s="23"/>
      <c r="G125" s="23"/>
      <c r="H125" s="29"/>
      <c r="I125" s="45"/>
      <c r="J125" s="29"/>
      <c r="K125" s="29"/>
      <c r="L125" s="29"/>
      <c r="M125" s="35"/>
      <c r="N125" s="38">
        <f>SUM(N123:N124)</f>
        <v>1542306.5249999999</v>
      </c>
      <c r="O125" s="32">
        <f>SUM(O123:O124)</f>
        <v>1.2383999999999999E-2</v>
      </c>
      <c r="P125" s="32">
        <f>SUM(P123:P124)</f>
        <v>1.2383999999999999E-2</v>
      </c>
      <c r="Q125" s="29"/>
      <c r="R125" s="23"/>
      <c r="S125" s="23"/>
    </row>
    <row r="126" spans="1:20" ht="18" x14ac:dyDescent="0.4">
      <c r="A126" s="40" t="s">
        <v>313</v>
      </c>
    </row>
    <row r="127" spans="1:20" x14ac:dyDescent="0.3">
      <c r="B127" s="22" t="s">
        <v>314</v>
      </c>
      <c r="C127" s="22" t="s">
        <v>227</v>
      </c>
      <c r="F127" s="22">
        <v>1166768</v>
      </c>
      <c r="G127" s="22">
        <v>1166768</v>
      </c>
      <c r="I127" s="44" t="s">
        <v>32</v>
      </c>
      <c r="J127" s="28">
        <v>534</v>
      </c>
      <c r="K127" s="28">
        <v>0</v>
      </c>
      <c r="L127" s="28" t="s">
        <v>33</v>
      </c>
      <c r="M127" s="34">
        <v>6019</v>
      </c>
      <c r="N127" s="37">
        <v>32141.46</v>
      </c>
      <c r="O127" s="31">
        <v>2.5799999999999998E-4</v>
      </c>
      <c r="P127" s="31">
        <v>2.5799999999999998E-4</v>
      </c>
      <c r="Q127" s="28">
        <v>1</v>
      </c>
      <c r="R127" s="22" t="s">
        <v>315</v>
      </c>
      <c r="S127" s="22" t="s">
        <v>35</v>
      </c>
      <c r="T127" s="22">
        <v>2</v>
      </c>
    </row>
    <row r="128" spans="1:20" x14ac:dyDescent="0.3">
      <c r="B128" s="22" t="s">
        <v>316</v>
      </c>
      <c r="C128" s="22" t="s">
        <v>317</v>
      </c>
      <c r="F128" s="22">
        <v>1172287</v>
      </c>
      <c r="G128" s="22">
        <v>1172287</v>
      </c>
      <c r="I128" s="44" t="s">
        <v>32</v>
      </c>
      <c r="J128" s="28">
        <v>333</v>
      </c>
      <c r="K128" s="28">
        <v>0</v>
      </c>
      <c r="L128" s="28" t="s">
        <v>33</v>
      </c>
      <c r="M128" s="34">
        <v>6706</v>
      </c>
      <c r="N128" s="37">
        <v>22330.98</v>
      </c>
      <c r="O128" s="31">
        <v>1.7899999999999999E-4</v>
      </c>
      <c r="P128" s="31">
        <v>1.7899999999999999E-4</v>
      </c>
      <c r="Q128" s="28">
        <v>1</v>
      </c>
      <c r="R128" s="22" t="s">
        <v>318</v>
      </c>
      <c r="S128" s="22" t="s">
        <v>35</v>
      </c>
      <c r="T128" s="22">
        <v>2</v>
      </c>
    </row>
    <row r="129" spans="1:20" ht="14.5" thickBot="1" x14ac:dyDescent="0.35">
      <c r="A129" s="42" t="s">
        <v>613</v>
      </c>
      <c r="B129" s="23"/>
      <c r="C129" s="23"/>
      <c r="D129" s="32"/>
      <c r="E129" s="26"/>
      <c r="F129" s="23"/>
      <c r="G129" s="23"/>
      <c r="H129" s="29"/>
      <c r="I129" s="45"/>
      <c r="J129" s="29"/>
      <c r="K129" s="29"/>
      <c r="L129" s="29"/>
      <c r="M129" s="35"/>
      <c r="N129" s="38">
        <f>SUM(N127:N128)</f>
        <v>54472.44</v>
      </c>
      <c r="O129" s="32">
        <f>SUM(O127:O128)</f>
        <v>4.37E-4</v>
      </c>
      <c r="P129" s="32">
        <f>SUM(P127:P128)</f>
        <v>4.37E-4</v>
      </c>
      <c r="Q129" s="29"/>
      <c r="R129" s="23"/>
      <c r="S129" s="23"/>
    </row>
    <row r="130" spans="1:20" ht="18" x14ac:dyDescent="0.4">
      <c r="A130" s="40" t="s">
        <v>319</v>
      </c>
    </row>
    <row r="131" spans="1:20" x14ac:dyDescent="0.3">
      <c r="B131" s="22" t="s">
        <v>320</v>
      </c>
      <c r="C131" s="22" t="s">
        <v>321</v>
      </c>
      <c r="F131" s="22">
        <v>1094986</v>
      </c>
      <c r="G131" s="22">
        <v>1094986</v>
      </c>
      <c r="I131" s="44" t="s">
        <v>32</v>
      </c>
      <c r="J131" s="28">
        <v>324885</v>
      </c>
      <c r="K131" s="28">
        <v>0</v>
      </c>
      <c r="L131" s="28" t="s">
        <v>33</v>
      </c>
      <c r="M131" s="34">
        <v>329.9</v>
      </c>
      <c r="N131" s="37">
        <v>1071795.615</v>
      </c>
      <c r="O131" s="31">
        <v>8.6060000000000008E-3</v>
      </c>
      <c r="P131" s="31">
        <v>8.6060000000000008E-3</v>
      </c>
      <c r="Q131" s="28">
        <v>1</v>
      </c>
      <c r="R131" s="22" t="s">
        <v>322</v>
      </c>
      <c r="S131" s="22" t="s">
        <v>35</v>
      </c>
      <c r="T131" s="22">
        <v>2</v>
      </c>
    </row>
    <row r="132" spans="1:20" x14ac:dyDescent="0.3">
      <c r="B132" s="22" t="s">
        <v>323</v>
      </c>
      <c r="C132" s="22" t="s">
        <v>46</v>
      </c>
      <c r="F132" s="22">
        <v>1170893</v>
      </c>
      <c r="G132" s="22">
        <v>1170893</v>
      </c>
      <c r="I132" s="44" t="s">
        <v>32</v>
      </c>
      <c r="J132" s="28">
        <v>127255</v>
      </c>
      <c r="K132" s="28">
        <v>0</v>
      </c>
      <c r="L132" s="28" t="s">
        <v>33</v>
      </c>
      <c r="M132" s="34">
        <v>2600</v>
      </c>
      <c r="N132" s="37">
        <v>3308630</v>
      </c>
      <c r="O132" s="31">
        <v>2.6568000000000001E-2</v>
      </c>
      <c r="P132" s="31">
        <v>2.6568000000000001E-2</v>
      </c>
      <c r="Q132" s="28">
        <v>1</v>
      </c>
      <c r="R132" s="22" t="s">
        <v>324</v>
      </c>
      <c r="S132" s="22" t="s">
        <v>35</v>
      </c>
      <c r="T132" s="22">
        <v>2</v>
      </c>
    </row>
    <row r="133" spans="1:20" x14ac:dyDescent="0.3">
      <c r="B133" s="22" t="s">
        <v>325</v>
      </c>
      <c r="C133" s="22" t="s">
        <v>326</v>
      </c>
      <c r="F133" s="22">
        <v>1168186</v>
      </c>
      <c r="G133" s="22">
        <v>1168186</v>
      </c>
      <c r="I133" s="44" t="s">
        <v>32</v>
      </c>
      <c r="J133" s="28">
        <v>1232</v>
      </c>
      <c r="K133" s="28">
        <v>0</v>
      </c>
      <c r="L133" s="28" t="s">
        <v>33</v>
      </c>
      <c r="M133" s="34">
        <v>48900</v>
      </c>
      <c r="N133" s="37">
        <v>602448</v>
      </c>
      <c r="O133" s="31">
        <v>4.8370000000000002E-3</v>
      </c>
      <c r="P133" s="31">
        <v>4.8370000000000002E-3</v>
      </c>
      <c r="Q133" s="28">
        <v>1</v>
      </c>
      <c r="R133" s="22" t="s">
        <v>327</v>
      </c>
      <c r="S133" s="22" t="s">
        <v>35</v>
      </c>
      <c r="T133" s="22">
        <v>2</v>
      </c>
    </row>
    <row r="134" spans="1:20" ht="14.5" thickBot="1" x14ac:dyDescent="0.35">
      <c r="A134" s="42" t="s">
        <v>614</v>
      </c>
      <c r="B134" s="23"/>
      <c r="C134" s="23"/>
      <c r="D134" s="32"/>
      <c r="E134" s="26"/>
      <c r="F134" s="23"/>
      <c r="G134" s="23"/>
      <c r="H134" s="29"/>
      <c r="I134" s="45"/>
      <c r="J134" s="29"/>
      <c r="K134" s="29"/>
      <c r="L134" s="29"/>
      <c r="M134" s="35"/>
      <c r="N134" s="38">
        <f>SUM(N131:N133)</f>
        <v>4982873.6150000002</v>
      </c>
      <c r="O134" s="32">
        <f>SUM(O131:O133)</f>
        <v>4.0011000000000005E-2</v>
      </c>
      <c r="P134" s="32">
        <f>SUM(P131:P133)</f>
        <v>4.0011000000000005E-2</v>
      </c>
      <c r="Q134" s="29"/>
      <c r="R134" s="23"/>
      <c r="S134" s="23"/>
    </row>
    <row r="135" spans="1:20" ht="18" x14ac:dyDescent="0.4">
      <c r="A135" s="40" t="s">
        <v>328</v>
      </c>
    </row>
    <row r="136" spans="1:20" x14ac:dyDescent="0.3">
      <c r="B136" s="22" t="s">
        <v>329</v>
      </c>
      <c r="C136" s="22" t="s">
        <v>118</v>
      </c>
      <c r="F136" s="22">
        <v>209015</v>
      </c>
      <c r="G136" s="22">
        <v>209015</v>
      </c>
      <c r="I136" s="44" t="s">
        <v>32</v>
      </c>
      <c r="J136" s="28">
        <v>7246</v>
      </c>
      <c r="K136" s="28">
        <v>0</v>
      </c>
      <c r="L136" s="28" t="s">
        <v>33</v>
      </c>
      <c r="M136" s="34">
        <v>13030</v>
      </c>
      <c r="N136" s="37">
        <v>944153.8</v>
      </c>
      <c r="O136" s="31">
        <v>7.5810000000000001E-3</v>
      </c>
      <c r="P136" s="31">
        <v>7.5810000000000001E-3</v>
      </c>
      <c r="Q136" s="28">
        <v>1</v>
      </c>
      <c r="R136" s="22" t="s">
        <v>330</v>
      </c>
      <c r="S136" s="22" t="s">
        <v>35</v>
      </c>
      <c r="T136" s="22">
        <v>2</v>
      </c>
    </row>
    <row r="137" spans="1:20" x14ac:dyDescent="0.3">
      <c r="B137" s="22" t="s">
        <v>331</v>
      </c>
      <c r="C137" s="22" t="s">
        <v>332</v>
      </c>
      <c r="F137" s="22">
        <v>1176981</v>
      </c>
      <c r="G137" s="22">
        <v>1176981</v>
      </c>
      <c r="I137" s="44" t="s">
        <v>32</v>
      </c>
      <c r="J137" s="28">
        <v>188232</v>
      </c>
      <c r="K137" s="28">
        <v>0</v>
      </c>
      <c r="L137" s="28" t="s">
        <v>33</v>
      </c>
      <c r="M137" s="34">
        <v>1700</v>
      </c>
      <c r="N137" s="37">
        <v>3199944</v>
      </c>
      <c r="O137" s="31">
        <v>2.5696E-2</v>
      </c>
      <c r="P137" s="31">
        <v>2.5696E-2</v>
      </c>
      <c r="Q137" s="28">
        <v>1</v>
      </c>
      <c r="R137" s="22" t="s">
        <v>333</v>
      </c>
      <c r="S137" s="22" t="s">
        <v>35</v>
      </c>
      <c r="T137" s="22">
        <v>2</v>
      </c>
    </row>
    <row r="138" spans="1:20" x14ac:dyDescent="0.3">
      <c r="B138" s="22" t="s">
        <v>334</v>
      </c>
      <c r="C138" s="22" t="s">
        <v>335</v>
      </c>
      <c r="F138" s="22">
        <v>1129501</v>
      </c>
      <c r="G138" s="22">
        <v>1129501</v>
      </c>
      <c r="I138" s="44" t="s">
        <v>32</v>
      </c>
      <c r="J138" s="28">
        <v>28</v>
      </c>
      <c r="K138" s="28">
        <v>0</v>
      </c>
      <c r="L138" s="28" t="s">
        <v>33</v>
      </c>
      <c r="M138" s="34">
        <v>22850</v>
      </c>
      <c r="N138" s="37">
        <v>6398</v>
      </c>
      <c r="O138" s="31">
        <v>5.1E-5</v>
      </c>
      <c r="P138" s="31">
        <v>5.1E-5</v>
      </c>
      <c r="Q138" s="28">
        <v>1</v>
      </c>
      <c r="R138" s="22" t="s">
        <v>336</v>
      </c>
      <c r="S138" s="22" t="s">
        <v>35</v>
      </c>
      <c r="T138" s="22">
        <v>2</v>
      </c>
    </row>
    <row r="139" spans="1:20" x14ac:dyDescent="0.3">
      <c r="B139" s="22" t="s">
        <v>337</v>
      </c>
      <c r="C139" s="22" t="s">
        <v>49</v>
      </c>
      <c r="F139" s="22">
        <v>767012</v>
      </c>
      <c r="G139" s="22">
        <v>767012</v>
      </c>
      <c r="I139" s="44" t="s">
        <v>32</v>
      </c>
      <c r="J139" s="28">
        <v>100</v>
      </c>
      <c r="K139" s="28">
        <v>0</v>
      </c>
      <c r="L139" s="28" t="s">
        <v>33</v>
      </c>
      <c r="M139" s="34">
        <v>16000</v>
      </c>
      <c r="N139" s="37">
        <v>16000</v>
      </c>
      <c r="O139" s="31">
        <v>1.2799999999999999E-4</v>
      </c>
      <c r="P139" s="31">
        <v>1.2799999999999999E-4</v>
      </c>
      <c r="Q139" s="28">
        <v>1</v>
      </c>
      <c r="R139" s="22" t="s">
        <v>338</v>
      </c>
      <c r="S139" s="22" t="s">
        <v>35</v>
      </c>
      <c r="T139" s="22">
        <v>2</v>
      </c>
    </row>
    <row r="140" spans="1:20" x14ac:dyDescent="0.3">
      <c r="B140" s="22" t="s">
        <v>339</v>
      </c>
      <c r="C140" s="22" t="s">
        <v>340</v>
      </c>
      <c r="F140" s="22">
        <v>1173228</v>
      </c>
      <c r="G140" s="22">
        <v>1173228</v>
      </c>
      <c r="I140" s="44" t="s">
        <v>32</v>
      </c>
      <c r="J140" s="28">
        <v>707</v>
      </c>
      <c r="K140" s="28">
        <v>0</v>
      </c>
      <c r="L140" s="28" t="s">
        <v>33</v>
      </c>
      <c r="M140" s="34">
        <v>1829</v>
      </c>
      <c r="N140" s="37">
        <v>12931.03</v>
      </c>
      <c r="O140" s="31">
        <v>1.03E-4</v>
      </c>
      <c r="P140" s="31">
        <v>1.03E-4</v>
      </c>
      <c r="Q140" s="28">
        <v>1</v>
      </c>
      <c r="R140" s="22" t="s">
        <v>341</v>
      </c>
      <c r="S140" s="22" t="s">
        <v>35</v>
      </c>
      <c r="T140" s="22">
        <v>2</v>
      </c>
    </row>
    <row r="141" spans="1:20" ht="14.5" thickBot="1" x14ac:dyDescent="0.35">
      <c r="A141" s="42" t="s">
        <v>615</v>
      </c>
      <c r="B141" s="23"/>
      <c r="C141" s="23"/>
      <c r="D141" s="32"/>
      <c r="E141" s="26"/>
      <c r="F141" s="23"/>
      <c r="G141" s="23"/>
      <c r="H141" s="29"/>
      <c r="I141" s="45"/>
      <c r="J141" s="29"/>
      <c r="K141" s="29"/>
      <c r="L141" s="29"/>
      <c r="M141" s="35"/>
      <c r="N141" s="38">
        <f>SUM(N136:N140)</f>
        <v>4179426.8299999996</v>
      </c>
      <c r="O141" s="32">
        <f>SUM(O136:O140)</f>
        <v>3.3559000000000005E-2</v>
      </c>
      <c r="P141" s="32">
        <f>SUM(P136:P140)</f>
        <v>3.3559000000000005E-2</v>
      </c>
      <c r="Q141" s="29"/>
      <c r="R141" s="23"/>
      <c r="S141" s="23"/>
    </row>
    <row r="142" spans="1:20" ht="18" x14ac:dyDescent="0.4">
      <c r="A142" s="40" t="s">
        <v>342</v>
      </c>
    </row>
    <row r="143" spans="1:20" x14ac:dyDescent="0.3">
      <c r="B143" s="22" t="s">
        <v>343</v>
      </c>
      <c r="C143" s="22" t="s">
        <v>344</v>
      </c>
      <c r="F143" s="22">
        <v>338012</v>
      </c>
      <c r="G143" s="22">
        <v>338012</v>
      </c>
      <c r="I143" s="44" t="s">
        <v>32</v>
      </c>
      <c r="J143" s="28">
        <v>139231</v>
      </c>
      <c r="K143" s="28">
        <v>0</v>
      </c>
      <c r="L143" s="28" t="s">
        <v>33</v>
      </c>
      <c r="M143" s="34">
        <v>4172</v>
      </c>
      <c r="N143" s="37">
        <v>5808717.3200000003</v>
      </c>
      <c r="O143" s="31">
        <v>4.6643999999999998E-2</v>
      </c>
      <c r="P143" s="31">
        <v>4.6643999999999998E-2</v>
      </c>
      <c r="Q143" s="28">
        <v>1</v>
      </c>
      <c r="R143" s="22" t="s">
        <v>345</v>
      </c>
      <c r="S143" s="22" t="s">
        <v>35</v>
      </c>
      <c r="T143" s="22">
        <v>2</v>
      </c>
    </row>
    <row r="144" spans="1:20" ht="14.5" thickBot="1" x14ac:dyDescent="0.35">
      <c r="A144" s="42" t="s">
        <v>616</v>
      </c>
      <c r="B144" s="23"/>
      <c r="C144" s="23"/>
      <c r="D144" s="32"/>
      <c r="E144" s="26"/>
      <c r="F144" s="23"/>
      <c r="G144" s="23"/>
      <c r="H144" s="29"/>
      <c r="I144" s="45"/>
      <c r="J144" s="29"/>
      <c r="K144" s="29"/>
      <c r="L144" s="29"/>
      <c r="M144" s="35"/>
      <c r="N144" s="38">
        <f>SUM(N143:N143)</f>
        <v>5808717.3200000003</v>
      </c>
      <c r="O144" s="32">
        <f>SUM(O143:O143)</f>
        <v>4.6643999999999998E-2</v>
      </c>
      <c r="P144" s="32">
        <f>SUM(P143:P143)</f>
        <v>4.6643999999999998E-2</v>
      </c>
      <c r="Q144" s="29"/>
      <c r="R144" s="23"/>
      <c r="S144" s="23"/>
    </row>
    <row r="145" spans="1:20" ht="18" x14ac:dyDescent="0.4">
      <c r="A145" s="40" t="s">
        <v>29</v>
      </c>
    </row>
    <row r="146" spans="1:20" x14ac:dyDescent="0.3">
      <c r="B146" s="22" t="s">
        <v>346</v>
      </c>
      <c r="C146" s="22" t="s">
        <v>347</v>
      </c>
      <c r="F146" s="22">
        <v>823013</v>
      </c>
      <c r="G146" s="22">
        <v>823013</v>
      </c>
      <c r="I146" s="44" t="s">
        <v>32</v>
      </c>
      <c r="J146" s="28">
        <v>110234</v>
      </c>
      <c r="K146" s="28">
        <v>0</v>
      </c>
      <c r="L146" s="28" t="s">
        <v>33</v>
      </c>
      <c r="M146" s="34">
        <v>2550</v>
      </c>
      <c r="N146" s="37">
        <v>2810967</v>
      </c>
      <c r="O146" s="31">
        <v>2.2571999999999998E-2</v>
      </c>
      <c r="P146" s="31">
        <v>2.2571999999999998E-2</v>
      </c>
      <c r="Q146" s="28">
        <v>1</v>
      </c>
      <c r="R146" s="22" t="s">
        <v>348</v>
      </c>
      <c r="S146" s="22" t="s">
        <v>35</v>
      </c>
      <c r="T146" s="22">
        <v>2</v>
      </c>
    </row>
    <row r="147" spans="1:20" x14ac:dyDescent="0.3">
      <c r="B147" s="22" t="s">
        <v>349</v>
      </c>
      <c r="C147" s="22" t="s">
        <v>350</v>
      </c>
      <c r="F147" s="22">
        <v>715011</v>
      </c>
      <c r="G147" s="22">
        <v>715011</v>
      </c>
      <c r="I147" s="44" t="s">
        <v>32</v>
      </c>
      <c r="J147" s="28">
        <v>17451</v>
      </c>
      <c r="K147" s="28">
        <v>0</v>
      </c>
      <c r="L147" s="28" t="s">
        <v>33</v>
      </c>
      <c r="M147" s="34">
        <v>2118</v>
      </c>
      <c r="N147" s="37">
        <v>369612.18</v>
      </c>
      <c r="O147" s="31">
        <v>2.9680000000000002E-3</v>
      </c>
      <c r="P147" s="31">
        <v>2.9680000000000002E-3</v>
      </c>
      <c r="Q147" s="28">
        <v>1</v>
      </c>
      <c r="R147" s="22" t="s">
        <v>351</v>
      </c>
      <c r="S147" s="22" t="s">
        <v>35</v>
      </c>
      <c r="T147" s="22">
        <v>2</v>
      </c>
    </row>
    <row r="148" spans="1:20" x14ac:dyDescent="0.3">
      <c r="B148" s="22" t="s">
        <v>352</v>
      </c>
      <c r="C148" s="22" t="s">
        <v>138</v>
      </c>
      <c r="F148" s="22">
        <v>421016</v>
      </c>
      <c r="G148" s="22">
        <v>421016</v>
      </c>
      <c r="I148" s="44" t="s">
        <v>32</v>
      </c>
      <c r="J148" s="28">
        <v>46031</v>
      </c>
      <c r="K148" s="28">
        <v>0</v>
      </c>
      <c r="L148" s="28" t="s">
        <v>33</v>
      </c>
      <c r="M148" s="34">
        <v>978.8</v>
      </c>
      <c r="N148" s="37">
        <v>450551.42800000001</v>
      </c>
      <c r="O148" s="31">
        <v>3.617E-3</v>
      </c>
      <c r="P148" s="31">
        <v>3.617E-3</v>
      </c>
      <c r="Q148" s="28">
        <v>1</v>
      </c>
      <c r="R148" s="22" t="s">
        <v>353</v>
      </c>
      <c r="S148" s="22" t="s">
        <v>35</v>
      </c>
      <c r="T148" s="22">
        <v>2</v>
      </c>
    </row>
    <row r="149" spans="1:20" x14ac:dyDescent="0.3">
      <c r="B149" s="22" t="s">
        <v>354</v>
      </c>
      <c r="C149" s="22" t="s">
        <v>355</v>
      </c>
      <c r="F149" s="22">
        <v>1102128</v>
      </c>
      <c r="G149" s="22">
        <v>1102128</v>
      </c>
      <c r="I149" s="44" t="s">
        <v>32</v>
      </c>
      <c r="J149" s="28">
        <v>3602</v>
      </c>
      <c r="K149" s="28">
        <v>0</v>
      </c>
      <c r="L149" s="28" t="s">
        <v>33</v>
      </c>
      <c r="M149" s="34">
        <v>17260</v>
      </c>
      <c r="N149" s="37">
        <v>621705.19999999995</v>
      </c>
      <c r="O149" s="31">
        <v>4.9919999999999999E-3</v>
      </c>
      <c r="P149" s="31">
        <v>4.9919999999999999E-3</v>
      </c>
      <c r="Q149" s="28">
        <v>1</v>
      </c>
      <c r="R149" s="22" t="s">
        <v>356</v>
      </c>
      <c r="S149" s="22" t="s">
        <v>35</v>
      </c>
      <c r="T149" s="22">
        <v>2</v>
      </c>
    </row>
    <row r="150" spans="1:20" ht="14.5" thickBot="1" x14ac:dyDescent="0.35">
      <c r="A150" s="42" t="s">
        <v>598</v>
      </c>
      <c r="B150" s="23"/>
      <c r="C150" s="23"/>
      <c r="D150" s="32"/>
      <c r="E150" s="26"/>
      <c r="F150" s="23"/>
      <c r="G150" s="23"/>
      <c r="H150" s="29"/>
      <c r="I150" s="45"/>
      <c r="J150" s="29"/>
      <c r="K150" s="29"/>
      <c r="L150" s="29"/>
      <c r="M150" s="35"/>
      <c r="N150" s="38">
        <f>SUM(N146:N149)</f>
        <v>4252835.8080000002</v>
      </c>
      <c r="O150" s="32">
        <f>SUM(O146:O149)</f>
        <v>3.4148999999999999E-2</v>
      </c>
      <c r="P150" s="32">
        <f>SUM(P146:P149)</f>
        <v>3.4148999999999999E-2</v>
      </c>
      <c r="Q150" s="29"/>
      <c r="R150" s="23"/>
      <c r="S150" s="23"/>
    </row>
    <row r="151" spans="1:20" ht="18" x14ac:dyDescent="0.4">
      <c r="A151" s="40" t="s">
        <v>357</v>
      </c>
    </row>
    <row r="152" spans="1:20" x14ac:dyDescent="0.3">
      <c r="B152" s="22" t="s">
        <v>358</v>
      </c>
      <c r="C152" s="22" t="s">
        <v>359</v>
      </c>
      <c r="F152" s="22">
        <v>662577</v>
      </c>
      <c r="G152" s="22">
        <v>662577</v>
      </c>
      <c r="I152" s="44" t="s">
        <v>32</v>
      </c>
      <c r="J152" s="28">
        <v>34706</v>
      </c>
      <c r="K152" s="28">
        <v>0</v>
      </c>
      <c r="L152" s="28" t="s">
        <v>33</v>
      </c>
      <c r="M152" s="34">
        <v>7899</v>
      </c>
      <c r="N152" s="37">
        <v>2741426.94</v>
      </c>
      <c r="O152" s="31">
        <v>2.2013999999999999E-2</v>
      </c>
      <c r="P152" s="31">
        <v>2.2013999999999999E-2</v>
      </c>
      <c r="Q152" s="28">
        <v>1</v>
      </c>
      <c r="R152" s="22" t="s">
        <v>360</v>
      </c>
      <c r="S152" s="22" t="s">
        <v>35</v>
      </c>
      <c r="T152" s="22">
        <v>2</v>
      </c>
    </row>
    <row r="153" spans="1:20" x14ac:dyDescent="0.3">
      <c r="B153" s="22" t="s">
        <v>361</v>
      </c>
      <c r="C153" s="22" t="s">
        <v>362</v>
      </c>
      <c r="F153" s="22">
        <v>604611</v>
      </c>
      <c r="G153" s="22">
        <v>604611</v>
      </c>
      <c r="I153" s="44" t="s">
        <v>32</v>
      </c>
      <c r="J153" s="28">
        <v>35704</v>
      </c>
      <c r="K153" s="28">
        <v>0</v>
      </c>
      <c r="L153" s="28" t="s">
        <v>33</v>
      </c>
      <c r="M153" s="34">
        <v>7577</v>
      </c>
      <c r="N153" s="37">
        <v>2705292.08</v>
      </c>
      <c r="O153" s="31">
        <v>2.1722999999999999E-2</v>
      </c>
      <c r="P153" s="31">
        <v>2.1722999999999999E-2</v>
      </c>
      <c r="Q153" s="28">
        <v>1</v>
      </c>
      <c r="R153" s="22" t="s">
        <v>363</v>
      </c>
      <c r="S153" s="22" t="s">
        <v>35</v>
      </c>
      <c r="T153" s="22">
        <v>2</v>
      </c>
    </row>
    <row r="154" spans="1:20" x14ac:dyDescent="0.3">
      <c r="B154" s="22" t="s">
        <v>364</v>
      </c>
      <c r="C154" s="22" t="s">
        <v>365</v>
      </c>
      <c r="F154" s="22">
        <v>763011</v>
      </c>
      <c r="G154" s="22">
        <v>763011</v>
      </c>
      <c r="I154" s="44" t="s">
        <v>32</v>
      </c>
      <c r="J154" s="28">
        <v>15866</v>
      </c>
      <c r="K154" s="28">
        <v>0</v>
      </c>
      <c r="L154" s="28" t="s">
        <v>33</v>
      </c>
      <c r="M154" s="34">
        <v>32720</v>
      </c>
      <c r="N154" s="37">
        <v>5191355.2</v>
      </c>
      <c r="O154" s="31">
        <v>4.1687000000000002E-2</v>
      </c>
      <c r="P154" s="31">
        <v>4.1687000000000002E-2</v>
      </c>
      <c r="Q154" s="28">
        <v>1</v>
      </c>
      <c r="R154" s="22" t="s">
        <v>366</v>
      </c>
      <c r="S154" s="22" t="s">
        <v>35</v>
      </c>
      <c r="T154" s="22">
        <v>2</v>
      </c>
    </row>
    <row r="155" spans="1:20" ht="14.5" thickBot="1" x14ac:dyDescent="0.35">
      <c r="A155" s="42" t="s">
        <v>617</v>
      </c>
      <c r="B155" s="23"/>
      <c r="C155" s="23"/>
      <c r="D155" s="32"/>
      <c r="E155" s="26"/>
      <c r="F155" s="23"/>
      <c r="G155" s="23"/>
      <c r="H155" s="29"/>
      <c r="I155" s="45"/>
      <c r="J155" s="29"/>
      <c r="K155" s="29"/>
      <c r="L155" s="29"/>
      <c r="M155" s="35"/>
      <c r="N155" s="38">
        <f>SUM(N152:N154)</f>
        <v>10638074.219999999</v>
      </c>
      <c r="O155" s="32">
        <f>SUM(O152:O154)</f>
        <v>8.5424E-2</v>
      </c>
      <c r="P155" s="32">
        <f>SUM(P152:P154)</f>
        <v>8.5424E-2</v>
      </c>
      <c r="Q155" s="29"/>
      <c r="R155" s="23"/>
      <c r="S155" s="23"/>
    </row>
    <row r="156" spans="1:20" ht="18" x14ac:dyDescent="0.4">
      <c r="A156" s="40" t="s">
        <v>367</v>
      </c>
    </row>
    <row r="157" spans="1:20" x14ac:dyDescent="0.3">
      <c r="B157" s="22" t="s">
        <v>368</v>
      </c>
      <c r="C157" s="22" t="s">
        <v>369</v>
      </c>
      <c r="F157" s="22">
        <v>810010</v>
      </c>
      <c r="G157" s="22">
        <v>810010</v>
      </c>
      <c r="I157" s="44" t="s">
        <v>32</v>
      </c>
      <c r="J157" s="28">
        <v>2470</v>
      </c>
      <c r="K157" s="28">
        <v>0</v>
      </c>
      <c r="L157" s="28" t="s">
        <v>33</v>
      </c>
      <c r="M157" s="34">
        <v>19190</v>
      </c>
      <c r="N157" s="37">
        <v>473993</v>
      </c>
      <c r="O157" s="31">
        <v>3.8059999999999999E-3</v>
      </c>
      <c r="P157" s="31">
        <v>3.8059999999999999E-3</v>
      </c>
      <c r="Q157" s="28">
        <v>1</v>
      </c>
      <c r="R157" s="22" t="s">
        <v>370</v>
      </c>
      <c r="S157" s="22" t="s">
        <v>35</v>
      </c>
      <c r="T157" s="22">
        <v>2</v>
      </c>
    </row>
    <row r="158" spans="1:20" x14ac:dyDescent="0.3">
      <c r="B158" s="22" t="s">
        <v>371</v>
      </c>
      <c r="C158" s="22" t="s">
        <v>372</v>
      </c>
      <c r="F158" s="22">
        <v>232017</v>
      </c>
      <c r="G158" s="22">
        <v>232017</v>
      </c>
      <c r="I158" s="44" t="s">
        <v>32</v>
      </c>
      <c r="J158" s="28">
        <v>270500</v>
      </c>
      <c r="K158" s="28">
        <v>0</v>
      </c>
      <c r="L158" s="28" t="s">
        <v>33</v>
      </c>
      <c r="M158" s="34">
        <v>212.5</v>
      </c>
      <c r="N158" s="37">
        <v>574812.5</v>
      </c>
      <c r="O158" s="31">
        <v>4.6150000000000002E-3</v>
      </c>
      <c r="P158" s="31">
        <v>4.6150000000000002E-3</v>
      </c>
      <c r="Q158" s="28">
        <v>1</v>
      </c>
      <c r="R158" s="22" t="s">
        <v>373</v>
      </c>
      <c r="S158" s="22" t="s">
        <v>35</v>
      </c>
      <c r="T158" s="22">
        <v>2</v>
      </c>
    </row>
    <row r="159" spans="1:20" x14ac:dyDescent="0.3">
      <c r="B159" s="22" t="s">
        <v>374</v>
      </c>
      <c r="C159" s="22" t="s">
        <v>375</v>
      </c>
      <c r="F159" s="22">
        <v>475020</v>
      </c>
      <c r="G159" s="22">
        <v>475020</v>
      </c>
      <c r="I159" s="44" t="s">
        <v>32</v>
      </c>
      <c r="J159" s="28">
        <v>12968</v>
      </c>
      <c r="K159" s="28">
        <v>0</v>
      </c>
      <c r="L159" s="28" t="s">
        <v>33</v>
      </c>
      <c r="M159" s="34">
        <v>1954</v>
      </c>
      <c r="N159" s="37">
        <v>253394.72</v>
      </c>
      <c r="O159" s="31">
        <v>2.0339999999999998E-3</v>
      </c>
      <c r="P159" s="31">
        <v>2.0339999999999998E-3</v>
      </c>
      <c r="Q159" s="28">
        <v>1</v>
      </c>
      <c r="R159" s="22" t="s">
        <v>376</v>
      </c>
      <c r="S159" s="22" t="s">
        <v>35</v>
      </c>
      <c r="T159" s="22">
        <v>2</v>
      </c>
    </row>
    <row r="160" spans="1:20" x14ac:dyDescent="0.3">
      <c r="B160" s="22" t="s">
        <v>377</v>
      </c>
      <c r="C160" s="22" t="s">
        <v>378</v>
      </c>
      <c r="F160" s="22">
        <v>394015</v>
      </c>
      <c r="G160" s="22">
        <v>394015</v>
      </c>
      <c r="I160" s="44" t="s">
        <v>32</v>
      </c>
      <c r="J160" s="28">
        <v>253588</v>
      </c>
      <c r="K160" s="28">
        <v>0</v>
      </c>
      <c r="L160" s="28" t="s">
        <v>33</v>
      </c>
      <c r="M160" s="34">
        <v>440</v>
      </c>
      <c r="N160" s="37">
        <v>1115787.2</v>
      </c>
      <c r="O160" s="31">
        <v>8.9589999999999999E-3</v>
      </c>
      <c r="P160" s="31">
        <v>8.9589999999999999E-3</v>
      </c>
      <c r="Q160" s="28">
        <v>1</v>
      </c>
      <c r="R160" s="22" t="s">
        <v>379</v>
      </c>
      <c r="S160" s="22" t="s">
        <v>35</v>
      </c>
      <c r="T160" s="22">
        <v>2</v>
      </c>
    </row>
    <row r="161" spans="1:20" x14ac:dyDescent="0.3">
      <c r="B161" s="22" t="s">
        <v>380</v>
      </c>
      <c r="C161" s="22" t="s">
        <v>274</v>
      </c>
      <c r="F161" s="22">
        <v>1141357</v>
      </c>
      <c r="G161" s="22">
        <v>1141357</v>
      </c>
      <c r="I161" s="44" t="s">
        <v>32</v>
      </c>
      <c r="J161" s="28">
        <v>15611</v>
      </c>
      <c r="K161" s="28">
        <v>0</v>
      </c>
      <c r="L161" s="28" t="s">
        <v>33</v>
      </c>
      <c r="M161" s="34">
        <v>3271</v>
      </c>
      <c r="N161" s="37">
        <v>510635.81</v>
      </c>
      <c r="O161" s="31">
        <v>4.1000000000000003E-3</v>
      </c>
      <c r="P161" s="31">
        <v>4.1000000000000003E-3</v>
      </c>
      <c r="Q161" s="28">
        <v>1</v>
      </c>
      <c r="R161" s="22" t="s">
        <v>381</v>
      </c>
      <c r="S161" s="22" t="s">
        <v>35</v>
      </c>
      <c r="T161" s="22">
        <v>2</v>
      </c>
    </row>
    <row r="162" spans="1:20" ht="14.5" thickBot="1" x14ac:dyDescent="0.35">
      <c r="A162" s="42" t="s">
        <v>618</v>
      </c>
      <c r="B162" s="23"/>
      <c r="C162" s="23"/>
      <c r="D162" s="32"/>
      <c r="E162" s="26"/>
      <c r="F162" s="23"/>
      <c r="G162" s="23"/>
      <c r="H162" s="29"/>
      <c r="I162" s="45"/>
      <c r="J162" s="29"/>
      <c r="K162" s="29"/>
      <c r="L162" s="29"/>
      <c r="M162" s="35"/>
      <c r="N162" s="38">
        <f>SUM(N157:N161)</f>
        <v>2928623.23</v>
      </c>
      <c r="O162" s="32">
        <f>SUM(O157:O161)</f>
        <v>2.3514E-2</v>
      </c>
      <c r="P162" s="32">
        <f>SUM(P157:P161)</f>
        <v>2.3514E-2</v>
      </c>
      <c r="Q162" s="29"/>
      <c r="R162" s="23"/>
      <c r="S162" s="23"/>
    </row>
    <row r="163" spans="1:20" ht="18" x14ac:dyDescent="0.4">
      <c r="A163" s="40" t="s">
        <v>382</v>
      </c>
    </row>
    <row r="164" spans="1:20" x14ac:dyDescent="0.3">
      <c r="B164" s="22" t="s">
        <v>383</v>
      </c>
      <c r="C164" s="22" t="s">
        <v>384</v>
      </c>
      <c r="F164" s="22">
        <v>1080456</v>
      </c>
      <c r="G164" s="22">
        <v>1080456</v>
      </c>
      <c r="I164" s="44" t="s">
        <v>32</v>
      </c>
      <c r="J164" s="28">
        <v>6920</v>
      </c>
      <c r="K164" s="28">
        <v>0</v>
      </c>
      <c r="L164" s="28" t="s">
        <v>33</v>
      </c>
      <c r="M164" s="34">
        <v>4498</v>
      </c>
      <c r="N164" s="37">
        <v>311261.59999999998</v>
      </c>
      <c r="O164" s="31">
        <v>2.4989999999999999E-3</v>
      </c>
      <c r="P164" s="31">
        <v>2.4989999999999999E-3</v>
      </c>
      <c r="Q164" s="28">
        <v>1</v>
      </c>
      <c r="R164" s="22" t="s">
        <v>385</v>
      </c>
      <c r="S164" s="22" t="s">
        <v>35</v>
      </c>
      <c r="T164" s="22">
        <v>2</v>
      </c>
    </row>
    <row r="165" spans="1:20" x14ac:dyDescent="0.3">
      <c r="B165" s="22" t="s">
        <v>386</v>
      </c>
      <c r="C165" s="22" t="s">
        <v>387</v>
      </c>
      <c r="F165" s="22">
        <v>644013</v>
      </c>
      <c r="G165" s="22">
        <v>644013</v>
      </c>
      <c r="I165" s="44" t="s">
        <v>32</v>
      </c>
      <c r="J165" s="28">
        <v>19206</v>
      </c>
      <c r="K165" s="28">
        <v>0</v>
      </c>
      <c r="L165" s="28" t="s">
        <v>33</v>
      </c>
      <c r="M165" s="34">
        <v>5394</v>
      </c>
      <c r="N165" s="37">
        <v>1035971.64</v>
      </c>
      <c r="O165" s="31">
        <v>8.319E-3</v>
      </c>
      <c r="P165" s="31">
        <v>8.319E-3</v>
      </c>
      <c r="Q165" s="28">
        <v>1</v>
      </c>
      <c r="R165" s="22" t="s">
        <v>388</v>
      </c>
      <c r="S165" s="22" t="s">
        <v>35</v>
      </c>
      <c r="T165" s="22">
        <v>2</v>
      </c>
    </row>
    <row r="166" spans="1:20" x14ac:dyDescent="0.3">
      <c r="B166" s="22" t="s">
        <v>389</v>
      </c>
      <c r="C166" s="22" t="s">
        <v>390</v>
      </c>
      <c r="F166" s="22">
        <v>1081603</v>
      </c>
      <c r="G166" s="22">
        <v>1081603</v>
      </c>
      <c r="I166" s="44" t="s">
        <v>32</v>
      </c>
      <c r="J166" s="28">
        <v>3104</v>
      </c>
      <c r="K166" s="28">
        <v>0</v>
      </c>
      <c r="L166" s="28" t="s">
        <v>33</v>
      </c>
      <c r="M166" s="34">
        <v>16420</v>
      </c>
      <c r="N166" s="37">
        <v>509676.79999999999</v>
      </c>
      <c r="O166" s="31">
        <v>4.0920000000000002E-3</v>
      </c>
      <c r="P166" s="31">
        <v>4.0920000000000002E-3</v>
      </c>
      <c r="Q166" s="28">
        <v>1</v>
      </c>
      <c r="R166" s="22" t="s">
        <v>391</v>
      </c>
      <c r="S166" s="22" t="s">
        <v>35</v>
      </c>
      <c r="T166" s="22">
        <v>2</v>
      </c>
    </row>
    <row r="167" spans="1:20" x14ac:dyDescent="0.3">
      <c r="B167" s="22" t="s">
        <v>392</v>
      </c>
      <c r="C167" s="22" t="s">
        <v>393</v>
      </c>
      <c r="F167" s="22">
        <v>522011</v>
      </c>
      <c r="G167" s="22">
        <v>522011</v>
      </c>
      <c r="I167" s="44" t="s">
        <v>32</v>
      </c>
      <c r="J167" s="28">
        <v>20667</v>
      </c>
      <c r="K167" s="28">
        <v>0</v>
      </c>
      <c r="L167" s="28" t="s">
        <v>33</v>
      </c>
      <c r="M167" s="34">
        <v>2694</v>
      </c>
      <c r="N167" s="37">
        <v>556768.98</v>
      </c>
      <c r="O167" s="31">
        <v>4.47E-3</v>
      </c>
      <c r="P167" s="31">
        <v>4.47E-3</v>
      </c>
      <c r="Q167" s="28">
        <v>1</v>
      </c>
      <c r="R167" s="22" t="s">
        <v>394</v>
      </c>
      <c r="S167" s="22" t="s">
        <v>35</v>
      </c>
      <c r="T167" s="22">
        <v>2</v>
      </c>
    </row>
    <row r="168" spans="1:20" ht="14.5" thickBot="1" x14ac:dyDescent="0.35">
      <c r="A168" s="42" t="s">
        <v>619</v>
      </c>
      <c r="B168" s="23"/>
      <c r="C168" s="23"/>
      <c r="D168" s="32"/>
      <c r="E168" s="26"/>
      <c r="F168" s="23"/>
      <c r="G168" s="23"/>
      <c r="H168" s="29"/>
      <c r="I168" s="45"/>
      <c r="J168" s="29"/>
      <c r="K168" s="29"/>
      <c r="L168" s="29"/>
      <c r="M168" s="35"/>
      <c r="N168" s="38">
        <f>SUM(N164:N167)</f>
        <v>2413679.02</v>
      </c>
      <c r="O168" s="32">
        <f>SUM(O164:O167)</f>
        <v>1.9380000000000001E-2</v>
      </c>
      <c r="P168" s="32">
        <f>SUM(P164:P167)</f>
        <v>1.9380000000000001E-2</v>
      </c>
      <c r="Q168" s="29"/>
      <c r="R168" s="23"/>
      <c r="S168" s="23"/>
    </row>
    <row r="169" spans="1:20" ht="18" x14ac:dyDescent="0.4">
      <c r="A169" s="40" t="s">
        <v>395</v>
      </c>
    </row>
    <row r="170" spans="1:20" x14ac:dyDescent="0.3">
      <c r="B170" s="22" t="s">
        <v>396</v>
      </c>
      <c r="C170" s="22" t="s">
        <v>397</v>
      </c>
      <c r="F170" s="22">
        <v>1083955</v>
      </c>
      <c r="G170" s="22">
        <v>1083955</v>
      </c>
      <c r="I170" s="44" t="s">
        <v>32</v>
      </c>
      <c r="J170" s="28">
        <v>14</v>
      </c>
      <c r="K170" s="28">
        <v>0</v>
      </c>
      <c r="L170" s="28" t="s">
        <v>33</v>
      </c>
      <c r="M170" s="34">
        <v>68180</v>
      </c>
      <c r="N170" s="37">
        <v>9545.2000000000007</v>
      </c>
      <c r="O170" s="31">
        <v>7.6000000000000004E-5</v>
      </c>
      <c r="P170" s="31">
        <v>7.6000000000000004E-5</v>
      </c>
      <c r="Q170" s="28">
        <v>1</v>
      </c>
      <c r="R170" s="22" t="s">
        <v>398</v>
      </c>
      <c r="S170" s="22" t="s">
        <v>35</v>
      </c>
      <c r="T170" s="22">
        <v>2</v>
      </c>
    </row>
    <row r="171" spans="1:20" ht="14.5" thickBot="1" x14ac:dyDescent="0.35">
      <c r="A171" s="42" t="s">
        <v>620</v>
      </c>
      <c r="B171" s="23"/>
      <c r="C171" s="23"/>
      <c r="D171" s="32"/>
      <c r="E171" s="26"/>
      <c r="F171" s="23"/>
      <c r="G171" s="23"/>
      <c r="H171" s="29"/>
      <c r="I171" s="45"/>
      <c r="J171" s="29"/>
      <c r="K171" s="29"/>
      <c r="L171" s="29"/>
      <c r="M171" s="35"/>
      <c r="N171" s="38">
        <f>SUM(N170:N170)</f>
        <v>9545.2000000000007</v>
      </c>
      <c r="O171" s="32">
        <f>SUM(O170:O170)</f>
        <v>7.6000000000000004E-5</v>
      </c>
      <c r="P171" s="32">
        <f>SUM(P170:P170)</f>
        <v>7.6000000000000004E-5</v>
      </c>
      <c r="Q171" s="29"/>
      <c r="R171" s="23"/>
      <c r="S171" s="23"/>
    </row>
    <row r="172" spans="1:20" ht="18" x14ac:dyDescent="0.4">
      <c r="A172" s="40" t="s">
        <v>36</v>
      </c>
    </row>
    <row r="173" spans="1:20" x14ac:dyDescent="0.3">
      <c r="B173" s="22" t="s">
        <v>399</v>
      </c>
      <c r="C173" s="22" t="s">
        <v>400</v>
      </c>
      <c r="F173" s="22">
        <v>413013</v>
      </c>
      <c r="G173" s="22">
        <v>413013</v>
      </c>
      <c r="I173" s="44" t="s">
        <v>32</v>
      </c>
      <c r="J173" s="28">
        <v>13777</v>
      </c>
      <c r="K173" s="28">
        <v>0</v>
      </c>
      <c r="L173" s="28" t="s">
        <v>33</v>
      </c>
      <c r="M173" s="34">
        <v>1918</v>
      </c>
      <c r="N173" s="37">
        <v>264242.86</v>
      </c>
      <c r="O173" s="31">
        <v>2.1210000000000001E-3</v>
      </c>
      <c r="P173" s="31">
        <v>2.1210000000000001E-3</v>
      </c>
      <c r="Q173" s="28">
        <v>1</v>
      </c>
      <c r="R173" s="22" t="s">
        <v>401</v>
      </c>
      <c r="S173" s="22" t="s">
        <v>35</v>
      </c>
      <c r="T173" s="22">
        <v>2</v>
      </c>
    </row>
    <row r="174" spans="1:20" ht="14.5" thickBot="1" x14ac:dyDescent="0.35">
      <c r="A174" s="42" t="s">
        <v>599</v>
      </c>
      <c r="B174" s="23"/>
      <c r="C174" s="23"/>
      <c r="D174" s="32"/>
      <c r="E174" s="26"/>
      <c r="F174" s="23"/>
      <c r="G174" s="23"/>
      <c r="H174" s="29"/>
      <c r="I174" s="45"/>
      <c r="J174" s="29"/>
      <c r="K174" s="29"/>
      <c r="L174" s="29"/>
      <c r="M174" s="35"/>
      <c r="N174" s="38">
        <f>SUM(N173:N173)</f>
        <v>264242.86</v>
      </c>
      <c r="O174" s="32">
        <f>SUM(O173:O173)</f>
        <v>2.1210000000000001E-3</v>
      </c>
      <c r="P174" s="32">
        <f>SUM(P173:P173)</f>
        <v>2.1210000000000001E-3</v>
      </c>
      <c r="Q174" s="29"/>
      <c r="R174" s="23"/>
      <c r="S174" s="23"/>
    </row>
    <row r="175" spans="1:20" ht="18" x14ac:dyDescent="0.4">
      <c r="A175" s="40" t="s">
        <v>402</v>
      </c>
    </row>
    <row r="176" spans="1:20" x14ac:dyDescent="0.3">
      <c r="B176" s="22" t="s">
        <v>403</v>
      </c>
      <c r="C176" s="22" t="s">
        <v>404</v>
      </c>
      <c r="F176" s="22">
        <v>829010</v>
      </c>
      <c r="G176" s="22">
        <v>829010</v>
      </c>
      <c r="I176" s="44" t="s">
        <v>32</v>
      </c>
      <c r="J176" s="28">
        <v>18163</v>
      </c>
      <c r="K176" s="28">
        <v>0</v>
      </c>
      <c r="L176" s="28" t="s">
        <v>33</v>
      </c>
      <c r="M176" s="34">
        <v>1962</v>
      </c>
      <c r="N176" s="37">
        <v>356358.06</v>
      </c>
      <c r="O176" s="31">
        <v>2.8609999999999998E-3</v>
      </c>
      <c r="P176" s="31">
        <v>2.8609999999999998E-3</v>
      </c>
      <c r="Q176" s="28">
        <v>1</v>
      </c>
      <c r="R176" s="22" t="s">
        <v>405</v>
      </c>
      <c r="S176" s="22" t="s">
        <v>35</v>
      </c>
      <c r="T176" s="22">
        <v>2</v>
      </c>
    </row>
    <row r="177" spans="1:20" x14ac:dyDescent="0.3">
      <c r="B177" s="22" t="s">
        <v>406</v>
      </c>
      <c r="C177" s="22" t="s">
        <v>407</v>
      </c>
      <c r="F177" s="22">
        <v>288019</v>
      </c>
      <c r="G177" s="22">
        <v>288019</v>
      </c>
      <c r="I177" s="44" t="s">
        <v>32</v>
      </c>
      <c r="J177" s="28">
        <v>3363</v>
      </c>
      <c r="K177" s="28">
        <v>0</v>
      </c>
      <c r="L177" s="28" t="s">
        <v>33</v>
      </c>
      <c r="M177" s="34">
        <v>20500</v>
      </c>
      <c r="N177" s="37">
        <v>689415</v>
      </c>
      <c r="O177" s="31">
        <v>5.5360000000000001E-3</v>
      </c>
      <c r="P177" s="31">
        <v>5.5360000000000001E-3</v>
      </c>
      <c r="Q177" s="28">
        <v>1</v>
      </c>
      <c r="R177" s="22" t="s">
        <v>408</v>
      </c>
      <c r="S177" s="22" t="s">
        <v>35</v>
      </c>
      <c r="T177" s="22">
        <v>2</v>
      </c>
    </row>
    <row r="178" spans="1:20" x14ac:dyDescent="0.3">
      <c r="B178" s="22" t="s">
        <v>409</v>
      </c>
      <c r="C178" s="22" t="s">
        <v>410</v>
      </c>
      <c r="F178" s="22">
        <v>1175496</v>
      </c>
      <c r="G178" s="22">
        <v>1175496</v>
      </c>
      <c r="I178" s="44" t="s">
        <v>32</v>
      </c>
      <c r="J178" s="28">
        <v>62260</v>
      </c>
      <c r="K178" s="28">
        <v>0</v>
      </c>
      <c r="L178" s="28" t="s">
        <v>33</v>
      </c>
      <c r="M178" s="34">
        <v>1439</v>
      </c>
      <c r="N178" s="37">
        <v>895921.4</v>
      </c>
      <c r="O178" s="31">
        <v>7.1939999999999999E-3</v>
      </c>
      <c r="P178" s="31">
        <v>7.1939999999999999E-3</v>
      </c>
      <c r="Q178" s="28">
        <v>1</v>
      </c>
      <c r="R178" s="22" t="s">
        <v>411</v>
      </c>
      <c r="S178" s="22" t="s">
        <v>35</v>
      </c>
      <c r="T178" s="22">
        <v>2</v>
      </c>
    </row>
    <row r="179" spans="1:20" ht="14.5" thickBot="1" x14ac:dyDescent="0.35">
      <c r="A179" s="42" t="s">
        <v>621</v>
      </c>
      <c r="B179" s="23"/>
      <c r="C179" s="23"/>
      <c r="D179" s="32"/>
      <c r="E179" s="26"/>
      <c r="F179" s="23"/>
      <c r="G179" s="23"/>
      <c r="H179" s="29"/>
      <c r="I179" s="45"/>
      <c r="J179" s="29"/>
      <c r="K179" s="29"/>
      <c r="L179" s="29"/>
      <c r="M179" s="35"/>
      <c r="N179" s="38">
        <f>SUM(N176:N178)</f>
        <v>1941694.46</v>
      </c>
      <c r="O179" s="32">
        <f>SUM(O176:O178)</f>
        <v>1.5591000000000001E-2</v>
      </c>
      <c r="P179" s="32">
        <f>SUM(P176:P178)</f>
        <v>1.5591000000000001E-2</v>
      </c>
      <c r="Q179" s="29"/>
      <c r="R179" s="23"/>
      <c r="S179" s="23"/>
    </row>
    <row r="180" spans="1:20" ht="18" x14ac:dyDescent="0.4">
      <c r="A180" s="40" t="s">
        <v>412</v>
      </c>
    </row>
    <row r="181" spans="1:20" x14ac:dyDescent="0.3">
      <c r="B181" s="22" t="s">
        <v>413</v>
      </c>
      <c r="C181" s="22" t="s">
        <v>414</v>
      </c>
      <c r="F181" s="22">
        <v>1132356</v>
      </c>
      <c r="G181" s="22">
        <v>1132356</v>
      </c>
      <c r="I181" s="44" t="s">
        <v>32</v>
      </c>
      <c r="J181" s="28">
        <v>3527</v>
      </c>
      <c r="K181" s="28">
        <v>0</v>
      </c>
      <c r="L181" s="28" t="s">
        <v>33</v>
      </c>
      <c r="M181" s="34">
        <v>2004</v>
      </c>
      <c r="N181" s="37">
        <v>70681.08</v>
      </c>
      <c r="O181" s="31">
        <v>5.6700000000000001E-4</v>
      </c>
      <c r="P181" s="31">
        <v>5.6700000000000001E-4</v>
      </c>
      <c r="Q181" s="28">
        <v>1</v>
      </c>
      <c r="R181" s="22" t="s">
        <v>415</v>
      </c>
      <c r="S181" s="22" t="s">
        <v>35</v>
      </c>
      <c r="T181" s="22">
        <v>2</v>
      </c>
    </row>
    <row r="182" spans="1:20" x14ac:dyDescent="0.3">
      <c r="B182" s="22" t="s">
        <v>416</v>
      </c>
      <c r="C182" s="22" t="s">
        <v>417</v>
      </c>
      <c r="F182" s="22">
        <v>1081561</v>
      </c>
      <c r="G182" s="22">
        <v>1081561</v>
      </c>
      <c r="I182" s="44" t="s">
        <v>32</v>
      </c>
      <c r="J182" s="28">
        <v>73</v>
      </c>
      <c r="K182" s="28">
        <v>0</v>
      </c>
      <c r="L182" s="28" t="s">
        <v>33</v>
      </c>
      <c r="M182" s="34">
        <v>80100</v>
      </c>
      <c r="N182" s="37">
        <v>58473</v>
      </c>
      <c r="O182" s="31">
        <v>4.6900000000000002E-4</v>
      </c>
      <c r="P182" s="31">
        <v>4.6900000000000002E-4</v>
      </c>
      <c r="Q182" s="28">
        <v>1</v>
      </c>
      <c r="R182" s="22" t="s">
        <v>418</v>
      </c>
      <c r="S182" s="22" t="s">
        <v>35</v>
      </c>
      <c r="T182" s="22">
        <v>2</v>
      </c>
    </row>
    <row r="183" spans="1:20" x14ac:dyDescent="0.3">
      <c r="B183" s="22" t="s">
        <v>419</v>
      </c>
      <c r="C183" s="22" t="s">
        <v>420</v>
      </c>
      <c r="F183" s="22">
        <v>384016</v>
      </c>
      <c r="G183" s="22">
        <v>384016</v>
      </c>
      <c r="I183" s="44" t="s">
        <v>32</v>
      </c>
      <c r="J183" s="28">
        <v>67016</v>
      </c>
      <c r="K183" s="28">
        <v>0</v>
      </c>
      <c r="L183" s="28" t="s">
        <v>33</v>
      </c>
      <c r="M183" s="34">
        <v>1807</v>
      </c>
      <c r="N183" s="37">
        <v>1210979.1200000001</v>
      </c>
      <c r="O183" s="31">
        <v>9.724E-3</v>
      </c>
      <c r="P183" s="31">
        <v>9.724E-3</v>
      </c>
      <c r="Q183" s="28">
        <v>1</v>
      </c>
      <c r="R183" s="22" t="s">
        <v>421</v>
      </c>
      <c r="S183" s="22" t="s">
        <v>35</v>
      </c>
      <c r="T183" s="22">
        <v>2</v>
      </c>
    </row>
    <row r="184" spans="1:20" ht="14.5" thickBot="1" x14ac:dyDescent="0.35">
      <c r="A184" s="42" t="s">
        <v>622</v>
      </c>
      <c r="B184" s="23"/>
      <c r="C184" s="23"/>
      <c r="D184" s="32"/>
      <c r="E184" s="26"/>
      <c r="F184" s="23"/>
      <c r="G184" s="23"/>
      <c r="H184" s="29"/>
      <c r="I184" s="45"/>
      <c r="J184" s="29"/>
      <c r="K184" s="29"/>
      <c r="L184" s="29"/>
      <c r="M184" s="35"/>
      <c r="N184" s="38">
        <f>SUM(N181:N183)</f>
        <v>1340133.2000000002</v>
      </c>
      <c r="O184" s="32">
        <f>SUM(O181:O183)</f>
        <v>1.076E-2</v>
      </c>
      <c r="P184" s="32">
        <f>SUM(P181:P183)</f>
        <v>1.076E-2</v>
      </c>
      <c r="Q184" s="29"/>
      <c r="R184" s="23"/>
      <c r="S184" s="23"/>
    </row>
    <row r="185" spans="1:20" ht="18" x14ac:dyDescent="0.4">
      <c r="A185" s="40" t="s">
        <v>422</v>
      </c>
    </row>
    <row r="186" spans="1:20" x14ac:dyDescent="0.3">
      <c r="B186" s="22" t="s">
        <v>423</v>
      </c>
      <c r="C186" s="22" t="s">
        <v>424</v>
      </c>
      <c r="F186" s="22">
        <v>1097260</v>
      </c>
      <c r="G186" s="22">
        <v>1097260</v>
      </c>
      <c r="I186" s="44" t="s">
        <v>32</v>
      </c>
      <c r="J186" s="28">
        <v>1099</v>
      </c>
      <c r="K186" s="28">
        <v>0</v>
      </c>
      <c r="L186" s="28" t="s">
        <v>33</v>
      </c>
      <c r="M186" s="34">
        <v>75500</v>
      </c>
      <c r="N186" s="37">
        <v>829745</v>
      </c>
      <c r="O186" s="31">
        <v>6.6620000000000004E-3</v>
      </c>
      <c r="P186" s="31">
        <v>6.6620000000000004E-3</v>
      </c>
      <c r="Q186" s="28">
        <v>1</v>
      </c>
      <c r="R186" s="22" t="s">
        <v>425</v>
      </c>
      <c r="S186" s="22" t="s">
        <v>35</v>
      </c>
      <c r="T186" s="22">
        <v>2</v>
      </c>
    </row>
    <row r="187" spans="1:20" x14ac:dyDescent="0.3">
      <c r="B187" s="22" t="s">
        <v>426</v>
      </c>
      <c r="C187" s="22" t="s">
        <v>241</v>
      </c>
      <c r="F187" s="22">
        <v>1098565</v>
      </c>
      <c r="G187" s="22">
        <v>1098565</v>
      </c>
      <c r="I187" s="44" t="s">
        <v>32</v>
      </c>
      <c r="J187" s="28">
        <v>1561</v>
      </c>
      <c r="K187" s="28">
        <v>0</v>
      </c>
      <c r="L187" s="28" t="s">
        <v>33</v>
      </c>
      <c r="M187" s="34">
        <v>42140</v>
      </c>
      <c r="N187" s="37">
        <v>657805.4</v>
      </c>
      <c r="O187" s="31">
        <v>5.2820000000000002E-3</v>
      </c>
      <c r="P187" s="31">
        <v>5.2820000000000002E-3</v>
      </c>
      <c r="Q187" s="28">
        <v>1</v>
      </c>
      <c r="R187" s="22" t="s">
        <v>427</v>
      </c>
      <c r="S187" s="22" t="s">
        <v>35</v>
      </c>
      <c r="T187" s="22">
        <v>2</v>
      </c>
    </row>
    <row r="188" spans="1:20" x14ac:dyDescent="0.3">
      <c r="B188" s="22" t="s">
        <v>428</v>
      </c>
      <c r="C188" s="22" t="s">
        <v>429</v>
      </c>
      <c r="F188" s="22">
        <v>323014</v>
      </c>
      <c r="G188" s="22">
        <v>323014</v>
      </c>
      <c r="I188" s="44" t="s">
        <v>32</v>
      </c>
      <c r="J188" s="28">
        <v>533</v>
      </c>
      <c r="K188" s="28">
        <v>0</v>
      </c>
      <c r="L188" s="28" t="s">
        <v>33</v>
      </c>
      <c r="M188" s="34">
        <v>42430</v>
      </c>
      <c r="N188" s="37">
        <v>226151.9</v>
      </c>
      <c r="O188" s="31">
        <v>1.8159999999999999E-3</v>
      </c>
      <c r="P188" s="31">
        <v>1.8159999999999999E-3</v>
      </c>
      <c r="Q188" s="28">
        <v>1</v>
      </c>
      <c r="R188" s="22" t="s">
        <v>430</v>
      </c>
      <c r="S188" s="22" t="s">
        <v>35</v>
      </c>
      <c r="T188" s="22">
        <v>2</v>
      </c>
    </row>
    <row r="189" spans="1:20" ht="14.5" thickBot="1" x14ac:dyDescent="0.35">
      <c r="A189" s="42" t="s">
        <v>623</v>
      </c>
      <c r="B189" s="23"/>
      <c r="C189" s="23"/>
      <c r="D189" s="32"/>
      <c r="E189" s="26"/>
      <c r="F189" s="23"/>
      <c r="G189" s="23"/>
      <c r="H189" s="29"/>
      <c r="I189" s="45"/>
      <c r="J189" s="29"/>
      <c r="K189" s="29"/>
      <c r="L189" s="29"/>
      <c r="M189" s="35"/>
      <c r="N189" s="38">
        <f>SUM(N186:N188)</f>
        <v>1713702.2999999998</v>
      </c>
      <c r="O189" s="32">
        <f>SUM(O186:O188)</f>
        <v>1.376E-2</v>
      </c>
      <c r="P189" s="32">
        <f>SUM(P186:P188)</f>
        <v>1.376E-2</v>
      </c>
      <c r="Q189" s="29"/>
      <c r="R189" s="23"/>
      <c r="S189" s="23"/>
    </row>
    <row r="190" spans="1:20" ht="18" x14ac:dyDescent="0.4">
      <c r="A190" s="40" t="s">
        <v>431</v>
      </c>
    </row>
    <row r="191" spans="1:20" x14ac:dyDescent="0.3">
      <c r="B191" s="22" t="s">
        <v>432</v>
      </c>
      <c r="C191" s="22" t="s">
        <v>433</v>
      </c>
      <c r="F191" s="22">
        <v>1090117</v>
      </c>
      <c r="G191" s="22">
        <v>1090117</v>
      </c>
      <c r="I191" s="44" t="s">
        <v>32</v>
      </c>
      <c r="J191" s="28">
        <v>139159</v>
      </c>
      <c r="K191" s="28">
        <v>0</v>
      </c>
      <c r="L191" s="28" t="s">
        <v>33</v>
      </c>
      <c r="M191" s="34">
        <v>312.3</v>
      </c>
      <c r="N191" s="37">
        <v>434593.55699999997</v>
      </c>
      <c r="O191" s="31">
        <v>3.4889999999999999E-3</v>
      </c>
      <c r="P191" s="31">
        <v>3.4889999999999999E-3</v>
      </c>
      <c r="Q191" s="28">
        <v>1</v>
      </c>
      <c r="R191" s="22" t="s">
        <v>434</v>
      </c>
      <c r="S191" s="22" t="s">
        <v>35</v>
      </c>
      <c r="T191" s="22">
        <v>2</v>
      </c>
    </row>
    <row r="192" spans="1:20" x14ac:dyDescent="0.3">
      <c r="B192" s="22" t="s">
        <v>435</v>
      </c>
      <c r="C192" s="22" t="s">
        <v>436</v>
      </c>
      <c r="F192" s="22">
        <v>625012</v>
      </c>
      <c r="G192" s="22">
        <v>625012</v>
      </c>
      <c r="I192" s="44" t="s">
        <v>32</v>
      </c>
      <c r="J192" s="28">
        <v>52496</v>
      </c>
      <c r="K192" s="28">
        <v>0</v>
      </c>
      <c r="L192" s="28" t="s">
        <v>33</v>
      </c>
      <c r="M192" s="34">
        <v>3135</v>
      </c>
      <c r="N192" s="37">
        <v>1645749.6</v>
      </c>
      <c r="O192" s="31">
        <v>1.3214999999999999E-2</v>
      </c>
      <c r="P192" s="31">
        <v>1.3214999999999999E-2</v>
      </c>
      <c r="Q192" s="28">
        <v>1</v>
      </c>
      <c r="R192" s="22" t="s">
        <v>437</v>
      </c>
      <c r="S192" s="22" t="s">
        <v>35</v>
      </c>
      <c r="T192" s="22">
        <v>2</v>
      </c>
    </row>
    <row r="193" spans="1:20" ht="14.5" thickBot="1" x14ac:dyDescent="0.35">
      <c r="A193" s="42" t="s">
        <v>624</v>
      </c>
      <c r="B193" s="23"/>
      <c r="C193" s="23"/>
      <c r="D193" s="32"/>
      <c r="E193" s="26"/>
      <c r="F193" s="23"/>
      <c r="G193" s="23"/>
      <c r="H193" s="29"/>
      <c r="I193" s="45"/>
      <c r="J193" s="29"/>
      <c r="K193" s="29"/>
      <c r="L193" s="29"/>
      <c r="M193" s="35"/>
      <c r="N193" s="38">
        <f>SUM(N191:N192)</f>
        <v>2080343.1570000001</v>
      </c>
      <c r="O193" s="32">
        <f>SUM(O191:O192)</f>
        <v>1.6704E-2</v>
      </c>
      <c r="P193" s="32">
        <f>SUM(P191:P192)</f>
        <v>1.6704E-2</v>
      </c>
      <c r="Q193" s="29"/>
      <c r="R193" s="23"/>
      <c r="S193" s="23"/>
    </row>
    <row r="194" spans="1:20" ht="18" x14ac:dyDescent="0.4">
      <c r="A194" s="40" t="s">
        <v>438</v>
      </c>
    </row>
    <row r="195" spans="1:20" x14ac:dyDescent="0.3">
      <c r="B195" s="22" t="s">
        <v>439</v>
      </c>
      <c r="C195" s="22" t="s">
        <v>440</v>
      </c>
      <c r="F195" s="22">
        <v>629014</v>
      </c>
      <c r="G195" s="22">
        <v>629014</v>
      </c>
      <c r="I195" s="44" t="s">
        <v>32</v>
      </c>
      <c r="J195" s="28">
        <v>14689</v>
      </c>
      <c r="K195" s="28">
        <v>0</v>
      </c>
      <c r="L195" s="28" t="s">
        <v>33</v>
      </c>
      <c r="M195" s="34">
        <v>10610</v>
      </c>
      <c r="N195" s="37">
        <v>1558502.9</v>
      </c>
      <c r="O195" s="31">
        <v>1.2515E-2</v>
      </c>
      <c r="P195" s="31">
        <v>1.2515E-2</v>
      </c>
      <c r="Q195" s="28">
        <v>1</v>
      </c>
      <c r="R195" s="22" t="s">
        <v>441</v>
      </c>
      <c r="S195" s="22" t="s">
        <v>35</v>
      </c>
      <c r="T195" s="22">
        <v>2</v>
      </c>
    </row>
    <row r="196" spans="1:20" ht="14.5" thickBot="1" x14ac:dyDescent="0.35">
      <c r="A196" s="42" t="s">
        <v>625</v>
      </c>
      <c r="B196" s="23"/>
      <c r="C196" s="23"/>
      <c r="D196" s="32"/>
      <c r="E196" s="26"/>
      <c r="F196" s="23"/>
      <c r="G196" s="23"/>
      <c r="H196" s="29"/>
      <c r="I196" s="45"/>
      <c r="J196" s="29"/>
      <c r="K196" s="29"/>
      <c r="L196" s="29"/>
      <c r="M196" s="35"/>
      <c r="N196" s="38">
        <f>SUM(N195:N195)</f>
        <v>1558502.9</v>
      </c>
      <c r="O196" s="32">
        <f>SUM(O195:O195)</f>
        <v>1.2515E-2</v>
      </c>
      <c r="P196" s="32">
        <f>SUM(P195:P195)</f>
        <v>1.2515E-2</v>
      </c>
      <c r="Q196" s="29"/>
      <c r="R196" s="23"/>
      <c r="S196" s="23"/>
    </row>
    <row r="197" spans="1:20" ht="18" x14ac:dyDescent="0.4">
      <c r="A197" s="40" t="s">
        <v>442</v>
      </c>
    </row>
    <row r="198" spans="1:20" x14ac:dyDescent="0.3">
      <c r="B198" s="22" t="s">
        <v>443</v>
      </c>
      <c r="C198" s="22" t="s">
        <v>444</v>
      </c>
      <c r="F198" s="22">
        <v>1082965</v>
      </c>
      <c r="G198" s="22">
        <v>1082965</v>
      </c>
      <c r="I198" s="44" t="s">
        <v>32</v>
      </c>
      <c r="J198" s="28">
        <v>3506</v>
      </c>
      <c r="K198" s="28">
        <v>0</v>
      </c>
      <c r="L198" s="28" t="s">
        <v>33</v>
      </c>
      <c r="M198" s="34">
        <v>2215</v>
      </c>
      <c r="N198" s="37">
        <v>77657.899999999994</v>
      </c>
      <c r="O198" s="31">
        <v>6.2299999999999996E-4</v>
      </c>
      <c r="P198" s="31">
        <v>6.2299999999999996E-4</v>
      </c>
      <c r="Q198" s="28">
        <v>1</v>
      </c>
      <c r="R198" s="22" t="s">
        <v>445</v>
      </c>
      <c r="S198" s="22" t="s">
        <v>35</v>
      </c>
      <c r="T198" s="22">
        <v>2</v>
      </c>
    </row>
    <row r="199" spans="1:20" ht="14.5" thickBot="1" x14ac:dyDescent="0.35">
      <c r="A199" s="42" t="s">
        <v>626</v>
      </c>
      <c r="B199" s="23"/>
      <c r="C199" s="23"/>
      <c r="D199" s="32"/>
      <c r="E199" s="26"/>
      <c r="F199" s="23"/>
      <c r="G199" s="23"/>
      <c r="H199" s="29"/>
      <c r="I199" s="45"/>
      <c r="J199" s="29"/>
      <c r="K199" s="29"/>
      <c r="L199" s="29"/>
      <c r="M199" s="35"/>
      <c r="N199" s="38">
        <f>SUM(N198:N198)</f>
        <v>77657.899999999994</v>
      </c>
      <c r="O199" s="32">
        <f>SUM(O198:O198)</f>
        <v>6.2299999999999996E-4</v>
      </c>
      <c r="P199" s="32">
        <f>SUM(P198:P198)</f>
        <v>6.2299999999999996E-4</v>
      </c>
      <c r="Q199" s="29"/>
      <c r="R199" s="23"/>
      <c r="S199" s="23"/>
    </row>
    <row r="200" spans="1:20" ht="18" x14ac:dyDescent="0.4">
      <c r="A200" s="40" t="s">
        <v>446</v>
      </c>
    </row>
    <row r="201" spans="1:20" x14ac:dyDescent="0.3">
      <c r="B201" s="22" t="s">
        <v>447</v>
      </c>
      <c r="C201" s="22" t="s">
        <v>448</v>
      </c>
      <c r="F201" s="22">
        <v>249011</v>
      </c>
      <c r="G201" s="22">
        <v>249011</v>
      </c>
      <c r="I201" s="44" t="s">
        <v>32</v>
      </c>
      <c r="J201" s="28">
        <v>962432</v>
      </c>
      <c r="K201" s="28">
        <v>0</v>
      </c>
      <c r="L201" s="28" t="s">
        <v>33</v>
      </c>
      <c r="M201" s="34">
        <v>315.7</v>
      </c>
      <c r="N201" s="37">
        <v>3038397.824</v>
      </c>
      <c r="O201" s="31">
        <v>2.4398E-2</v>
      </c>
      <c r="P201" s="31">
        <v>2.4398E-2</v>
      </c>
      <c r="Q201" s="28">
        <v>1</v>
      </c>
      <c r="R201" s="22" t="s">
        <v>449</v>
      </c>
      <c r="S201" s="22" t="s">
        <v>35</v>
      </c>
      <c r="T201" s="22">
        <v>2</v>
      </c>
    </row>
    <row r="202" spans="1:20" ht="14.5" thickBot="1" x14ac:dyDescent="0.35">
      <c r="A202" s="42" t="s">
        <v>627</v>
      </c>
      <c r="B202" s="23"/>
      <c r="C202" s="23"/>
      <c r="D202" s="32"/>
      <c r="E202" s="26"/>
      <c r="F202" s="23"/>
      <c r="G202" s="23"/>
      <c r="H202" s="29"/>
      <c r="I202" s="45"/>
      <c r="J202" s="29"/>
      <c r="K202" s="29"/>
      <c r="L202" s="29"/>
      <c r="M202" s="35"/>
      <c r="N202" s="38">
        <f>SUM(N201:N201)</f>
        <v>3038397.824</v>
      </c>
      <c r="O202" s="32">
        <f>SUM(O201:O201)</f>
        <v>2.4398E-2</v>
      </c>
      <c r="P202" s="32">
        <f>SUM(P201:P201)</f>
        <v>2.4398E-2</v>
      </c>
      <c r="Q202" s="29"/>
      <c r="R202" s="23"/>
      <c r="S202" s="23"/>
    </row>
    <row r="203" spans="1:20" ht="18" x14ac:dyDescent="0.4">
      <c r="A203" s="40" t="s">
        <v>450</v>
      </c>
    </row>
    <row r="204" spans="1:20" x14ac:dyDescent="0.3">
      <c r="B204" s="22" t="s">
        <v>451</v>
      </c>
      <c r="C204" s="22" t="s">
        <v>452</v>
      </c>
      <c r="F204" s="22">
        <v>1171669</v>
      </c>
      <c r="G204" s="22">
        <v>1171669</v>
      </c>
      <c r="I204" s="44" t="s">
        <v>32</v>
      </c>
      <c r="J204" s="28">
        <v>171363</v>
      </c>
      <c r="K204" s="28">
        <v>0</v>
      </c>
      <c r="L204" s="28" t="s">
        <v>33</v>
      </c>
      <c r="M204" s="34">
        <v>775.7</v>
      </c>
      <c r="N204" s="37">
        <v>1329262.791</v>
      </c>
      <c r="O204" s="31">
        <v>1.0673999999999999E-2</v>
      </c>
      <c r="P204" s="31">
        <v>1.0673999999999999E-2</v>
      </c>
      <c r="Q204" s="28">
        <v>1</v>
      </c>
      <c r="R204" s="22" t="s">
        <v>453</v>
      </c>
      <c r="S204" s="22" t="s">
        <v>35</v>
      </c>
      <c r="T204" s="22">
        <v>2</v>
      </c>
    </row>
    <row r="205" spans="1:20" x14ac:dyDescent="0.3">
      <c r="B205" s="22" t="s">
        <v>454</v>
      </c>
      <c r="C205" s="22" t="s">
        <v>455</v>
      </c>
      <c r="F205" s="22">
        <v>1096148</v>
      </c>
      <c r="G205" s="22">
        <v>1096148</v>
      </c>
      <c r="I205" s="44" t="s">
        <v>32</v>
      </c>
      <c r="J205" s="28">
        <v>282665</v>
      </c>
      <c r="K205" s="28">
        <v>0</v>
      </c>
      <c r="L205" s="28" t="s">
        <v>33</v>
      </c>
      <c r="M205" s="34">
        <v>640.4</v>
      </c>
      <c r="N205" s="37">
        <v>1810186.66</v>
      </c>
      <c r="O205" s="31">
        <v>1.4536E-2</v>
      </c>
      <c r="P205" s="31">
        <v>1.4536E-2</v>
      </c>
      <c r="Q205" s="28">
        <v>1</v>
      </c>
      <c r="R205" s="22" t="s">
        <v>456</v>
      </c>
      <c r="S205" s="22" t="s">
        <v>35</v>
      </c>
      <c r="T205" s="22">
        <v>2</v>
      </c>
    </row>
    <row r="206" spans="1:20" x14ac:dyDescent="0.3">
      <c r="B206" s="22" t="s">
        <v>457</v>
      </c>
      <c r="C206" s="22" t="s">
        <v>458</v>
      </c>
      <c r="F206" s="22">
        <v>280016</v>
      </c>
      <c r="G206" s="22">
        <v>280016</v>
      </c>
      <c r="I206" s="44" t="s">
        <v>32</v>
      </c>
      <c r="J206" s="28">
        <v>1924</v>
      </c>
      <c r="K206" s="28">
        <v>0</v>
      </c>
      <c r="L206" s="28" t="s">
        <v>33</v>
      </c>
      <c r="M206" s="34">
        <v>11090</v>
      </c>
      <c r="N206" s="37">
        <v>213371.6</v>
      </c>
      <c r="O206" s="31">
        <v>1.7129999999999999E-3</v>
      </c>
      <c r="P206" s="31">
        <v>1.7129999999999999E-3</v>
      </c>
      <c r="Q206" s="28">
        <v>1</v>
      </c>
      <c r="R206" s="22" t="s">
        <v>459</v>
      </c>
      <c r="S206" s="22" t="s">
        <v>35</v>
      </c>
      <c r="T206" s="22">
        <v>2</v>
      </c>
    </row>
    <row r="207" spans="1:20" x14ac:dyDescent="0.3">
      <c r="B207" s="22" t="s">
        <v>460</v>
      </c>
      <c r="C207" s="22" t="s">
        <v>461</v>
      </c>
      <c r="F207" s="22">
        <v>1178714</v>
      </c>
      <c r="G207" s="22">
        <v>1178714</v>
      </c>
      <c r="I207" s="44" t="s">
        <v>32</v>
      </c>
      <c r="J207" s="28">
        <v>20111</v>
      </c>
      <c r="K207" s="28">
        <v>0</v>
      </c>
      <c r="L207" s="28" t="s">
        <v>33</v>
      </c>
      <c r="M207" s="34">
        <v>730.9</v>
      </c>
      <c r="N207" s="37">
        <v>146991.299</v>
      </c>
      <c r="O207" s="31">
        <v>1.1800000000000001E-3</v>
      </c>
      <c r="P207" s="31">
        <v>1.1800000000000001E-3</v>
      </c>
      <c r="Q207" s="28">
        <v>1</v>
      </c>
      <c r="R207" s="22" t="s">
        <v>462</v>
      </c>
      <c r="S207" s="22" t="s">
        <v>35</v>
      </c>
      <c r="T207" s="22">
        <v>2</v>
      </c>
    </row>
    <row r="208" spans="1:20" x14ac:dyDescent="0.3">
      <c r="B208" s="22" t="s">
        <v>463</v>
      </c>
      <c r="C208" s="22" t="s">
        <v>464</v>
      </c>
      <c r="F208" s="22">
        <v>103010</v>
      </c>
      <c r="G208" s="22">
        <v>103010</v>
      </c>
      <c r="I208" s="44" t="s">
        <v>32</v>
      </c>
      <c r="J208" s="28">
        <v>127642</v>
      </c>
      <c r="K208" s="28">
        <v>0</v>
      </c>
      <c r="L208" s="28" t="s">
        <v>33</v>
      </c>
      <c r="M208" s="34">
        <v>1112</v>
      </c>
      <c r="N208" s="37">
        <v>1419379.04</v>
      </c>
      <c r="O208" s="31">
        <v>1.1396999999999999E-2</v>
      </c>
      <c r="P208" s="31">
        <v>1.1396999999999999E-2</v>
      </c>
      <c r="Q208" s="28">
        <v>1</v>
      </c>
      <c r="R208" s="22" t="s">
        <v>465</v>
      </c>
      <c r="S208" s="22" t="s">
        <v>35</v>
      </c>
      <c r="T208" s="22">
        <v>2</v>
      </c>
    </row>
    <row r="209" spans="1:20" x14ac:dyDescent="0.3">
      <c r="B209" s="22" t="s">
        <v>466</v>
      </c>
      <c r="C209" s="22" t="s">
        <v>467</v>
      </c>
      <c r="F209" s="22">
        <v>1123777</v>
      </c>
      <c r="G209" s="22">
        <v>1123777</v>
      </c>
      <c r="I209" s="44" t="s">
        <v>32</v>
      </c>
      <c r="J209" s="28">
        <v>40040</v>
      </c>
      <c r="K209" s="28">
        <v>0</v>
      </c>
      <c r="L209" s="28" t="s">
        <v>33</v>
      </c>
      <c r="M209" s="34">
        <v>5418</v>
      </c>
      <c r="N209" s="37">
        <v>2169367.2000000002</v>
      </c>
      <c r="O209" s="31">
        <v>1.7420000000000001E-2</v>
      </c>
      <c r="P209" s="31">
        <v>1.7420000000000001E-2</v>
      </c>
      <c r="Q209" s="28">
        <v>1</v>
      </c>
      <c r="R209" s="22" t="s">
        <v>468</v>
      </c>
      <c r="S209" s="22" t="s">
        <v>35</v>
      </c>
      <c r="T209" s="22">
        <v>2</v>
      </c>
    </row>
    <row r="210" spans="1:20" x14ac:dyDescent="0.3">
      <c r="B210" s="22" t="s">
        <v>469</v>
      </c>
      <c r="C210" s="22" t="s">
        <v>210</v>
      </c>
      <c r="F210" s="22">
        <v>1161264</v>
      </c>
      <c r="G210" s="22">
        <v>1161264</v>
      </c>
      <c r="I210" s="44" t="s">
        <v>32</v>
      </c>
      <c r="J210" s="28">
        <v>1767</v>
      </c>
      <c r="K210" s="28">
        <v>0</v>
      </c>
      <c r="L210" s="28" t="s">
        <v>33</v>
      </c>
      <c r="M210" s="34">
        <v>36110</v>
      </c>
      <c r="N210" s="37">
        <v>638063.69999999995</v>
      </c>
      <c r="O210" s="31">
        <v>5.1229999999999999E-3</v>
      </c>
      <c r="P210" s="31">
        <v>5.1229999999999999E-3</v>
      </c>
      <c r="Q210" s="28">
        <v>1</v>
      </c>
      <c r="R210" s="22" t="s">
        <v>470</v>
      </c>
      <c r="S210" s="22" t="s">
        <v>35</v>
      </c>
      <c r="T210" s="22">
        <v>2</v>
      </c>
    </row>
    <row r="211" spans="1:20" ht="14.5" thickBot="1" x14ac:dyDescent="0.35">
      <c r="A211" s="42" t="s">
        <v>628</v>
      </c>
      <c r="B211" s="23"/>
      <c r="C211" s="23"/>
      <c r="D211" s="32"/>
      <c r="E211" s="26"/>
      <c r="F211" s="23"/>
      <c r="G211" s="23"/>
      <c r="H211" s="29"/>
      <c r="I211" s="45"/>
      <c r="J211" s="29"/>
      <c r="K211" s="29"/>
      <c r="L211" s="29"/>
      <c r="M211" s="35"/>
      <c r="N211" s="38">
        <f>SUM(N204:N210)</f>
        <v>7726622.290000001</v>
      </c>
      <c r="O211" s="32">
        <f>SUM(O204:O210)</f>
        <v>6.2043000000000001E-2</v>
      </c>
      <c r="P211" s="32">
        <f>SUM(P204:P210)</f>
        <v>6.2043000000000001E-2</v>
      </c>
      <c r="Q211" s="29"/>
      <c r="R211" s="23"/>
      <c r="S211" s="23"/>
    </row>
    <row r="212" spans="1:20" ht="18" x14ac:dyDescent="0.4">
      <c r="A212" s="40" t="s">
        <v>471</v>
      </c>
    </row>
    <row r="213" spans="1:20" x14ac:dyDescent="0.3">
      <c r="B213" s="22" t="s">
        <v>472</v>
      </c>
      <c r="C213" s="22" t="s">
        <v>473</v>
      </c>
      <c r="F213" s="22">
        <v>1084698</v>
      </c>
      <c r="G213" s="22">
        <v>1084698</v>
      </c>
      <c r="I213" s="44" t="s">
        <v>32</v>
      </c>
      <c r="J213" s="28">
        <v>683</v>
      </c>
      <c r="K213" s="28">
        <v>0</v>
      </c>
      <c r="L213" s="28" t="s">
        <v>33</v>
      </c>
      <c r="M213" s="34">
        <v>20050</v>
      </c>
      <c r="N213" s="37">
        <v>136941.5</v>
      </c>
      <c r="O213" s="31">
        <v>1.0989999999999999E-3</v>
      </c>
      <c r="P213" s="31">
        <v>1.0989999999999999E-3</v>
      </c>
      <c r="Q213" s="28">
        <v>1</v>
      </c>
      <c r="R213" s="22" t="s">
        <v>474</v>
      </c>
      <c r="S213" s="22" t="s">
        <v>35</v>
      </c>
      <c r="T213" s="22">
        <v>2</v>
      </c>
    </row>
    <row r="214" spans="1:20" x14ac:dyDescent="0.3">
      <c r="B214" s="22" t="s">
        <v>475</v>
      </c>
      <c r="C214" s="22" t="s">
        <v>476</v>
      </c>
      <c r="F214" s="22">
        <v>445015</v>
      </c>
      <c r="G214" s="22">
        <v>445015</v>
      </c>
      <c r="I214" s="44" t="s">
        <v>32</v>
      </c>
      <c r="J214" s="28">
        <v>1068.07</v>
      </c>
      <c r="K214" s="28">
        <v>0</v>
      </c>
      <c r="L214" s="28" t="s">
        <v>33</v>
      </c>
      <c r="M214" s="34">
        <v>9471</v>
      </c>
      <c r="N214" s="37">
        <v>101156.9097</v>
      </c>
      <c r="O214" s="31">
        <v>8.12E-4</v>
      </c>
      <c r="P214" s="31">
        <v>8.12E-4</v>
      </c>
      <c r="Q214" s="28">
        <v>1</v>
      </c>
      <c r="R214" s="22" t="s">
        <v>477</v>
      </c>
      <c r="S214" s="22" t="s">
        <v>35</v>
      </c>
      <c r="T214" s="22">
        <v>2</v>
      </c>
    </row>
    <row r="215" spans="1:20" x14ac:dyDescent="0.3">
      <c r="B215" s="22" t="s">
        <v>478</v>
      </c>
      <c r="C215" s="22" t="s">
        <v>479</v>
      </c>
      <c r="F215" s="22">
        <v>156018</v>
      </c>
      <c r="G215" s="22">
        <v>156018</v>
      </c>
      <c r="I215" s="44" t="s">
        <v>32</v>
      </c>
      <c r="J215" s="28">
        <v>2366</v>
      </c>
      <c r="K215" s="28">
        <v>0</v>
      </c>
      <c r="L215" s="28" t="s">
        <v>33</v>
      </c>
      <c r="M215" s="34">
        <v>9338</v>
      </c>
      <c r="N215" s="37">
        <v>220937.08</v>
      </c>
      <c r="O215" s="31">
        <v>1.774E-3</v>
      </c>
      <c r="P215" s="31">
        <v>1.774E-3</v>
      </c>
      <c r="Q215" s="28">
        <v>1</v>
      </c>
      <c r="R215" s="22" t="s">
        <v>480</v>
      </c>
      <c r="S215" s="22" t="s">
        <v>35</v>
      </c>
      <c r="T215" s="22">
        <v>2</v>
      </c>
    </row>
    <row r="216" spans="1:20" x14ac:dyDescent="0.3">
      <c r="B216" s="22" t="s">
        <v>481</v>
      </c>
      <c r="C216" s="22" t="s">
        <v>482</v>
      </c>
      <c r="F216" s="22">
        <v>1178284</v>
      </c>
      <c r="G216" s="22">
        <v>1178284</v>
      </c>
      <c r="I216" s="44" t="s">
        <v>32</v>
      </c>
      <c r="J216" s="28">
        <v>64387</v>
      </c>
      <c r="K216" s="28">
        <v>0</v>
      </c>
      <c r="L216" s="28" t="s">
        <v>33</v>
      </c>
      <c r="M216" s="34">
        <v>293.89999999999998</v>
      </c>
      <c r="N216" s="37">
        <v>189233.39300000001</v>
      </c>
      <c r="O216" s="31">
        <v>1.519E-3</v>
      </c>
      <c r="P216" s="31">
        <v>1.519E-3</v>
      </c>
      <c r="Q216" s="28">
        <v>1</v>
      </c>
      <c r="R216" s="22" t="s">
        <v>483</v>
      </c>
      <c r="S216" s="22" t="s">
        <v>35</v>
      </c>
      <c r="T216" s="22">
        <v>2</v>
      </c>
    </row>
    <row r="217" spans="1:20" x14ac:dyDescent="0.3">
      <c r="B217" s="22" t="s">
        <v>484</v>
      </c>
      <c r="C217" s="22" t="s">
        <v>485</v>
      </c>
      <c r="F217" s="22">
        <v>161018</v>
      </c>
      <c r="G217" s="22">
        <v>161018</v>
      </c>
      <c r="I217" s="44" t="s">
        <v>32</v>
      </c>
      <c r="J217" s="28">
        <v>14299</v>
      </c>
      <c r="K217" s="28">
        <v>0</v>
      </c>
      <c r="L217" s="28" t="s">
        <v>33</v>
      </c>
      <c r="M217" s="34">
        <v>6053</v>
      </c>
      <c r="N217" s="37">
        <v>865518.47</v>
      </c>
      <c r="O217" s="31">
        <v>6.9499999999999996E-3</v>
      </c>
      <c r="P217" s="31">
        <v>6.9499999999999996E-3</v>
      </c>
      <c r="Q217" s="28">
        <v>1</v>
      </c>
      <c r="R217" s="22" t="s">
        <v>486</v>
      </c>
      <c r="S217" s="22" t="s">
        <v>35</v>
      </c>
      <c r="T217" s="22">
        <v>2</v>
      </c>
    </row>
    <row r="218" spans="1:20" ht="14.5" thickBot="1" x14ac:dyDescent="0.35">
      <c r="A218" s="42" t="s">
        <v>629</v>
      </c>
      <c r="B218" s="23"/>
      <c r="C218" s="23"/>
      <c r="D218" s="32"/>
      <c r="E218" s="26"/>
      <c r="F218" s="23"/>
      <c r="G218" s="23"/>
      <c r="H218" s="29"/>
      <c r="I218" s="45"/>
      <c r="J218" s="29"/>
      <c r="K218" s="29"/>
      <c r="L218" s="29"/>
      <c r="M218" s="35"/>
      <c r="N218" s="38">
        <f>SUM(N213:N217)</f>
        <v>1513787.3527000002</v>
      </c>
      <c r="O218" s="32">
        <f>SUM(O213:O217)</f>
        <v>1.2154E-2</v>
      </c>
      <c r="P218" s="32">
        <f>SUM(P213:P217)</f>
        <v>1.2154E-2</v>
      </c>
      <c r="Q218" s="29"/>
      <c r="R218" s="23"/>
      <c r="S218" s="23"/>
    </row>
    <row r="219" spans="1:20" ht="18" x14ac:dyDescent="0.4">
      <c r="A219" s="40" t="s">
        <v>487</v>
      </c>
    </row>
    <row r="220" spans="1:20" x14ac:dyDescent="0.3">
      <c r="B220" s="22" t="s">
        <v>488</v>
      </c>
      <c r="C220" s="22" t="s">
        <v>489</v>
      </c>
      <c r="F220" s="22">
        <v>1138379</v>
      </c>
      <c r="G220" s="22">
        <v>1138379</v>
      </c>
      <c r="I220" s="44" t="s">
        <v>32</v>
      </c>
      <c r="J220" s="28">
        <v>47672</v>
      </c>
      <c r="K220" s="28">
        <v>0</v>
      </c>
      <c r="L220" s="28" t="s">
        <v>33</v>
      </c>
      <c r="M220" s="34">
        <v>1953</v>
      </c>
      <c r="N220" s="37">
        <v>931034.16</v>
      </c>
      <c r="O220" s="31">
        <v>7.476E-3</v>
      </c>
      <c r="P220" s="31">
        <v>7.476E-3</v>
      </c>
      <c r="Q220" s="28">
        <v>1</v>
      </c>
      <c r="R220" s="22" t="s">
        <v>490</v>
      </c>
      <c r="S220" s="22" t="s">
        <v>35</v>
      </c>
      <c r="T220" s="22">
        <v>2</v>
      </c>
    </row>
    <row r="221" spans="1:20" x14ac:dyDescent="0.3">
      <c r="B221" s="22" t="s">
        <v>491</v>
      </c>
      <c r="C221" s="22" t="s">
        <v>492</v>
      </c>
      <c r="F221" s="22">
        <v>1187194</v>
      </c>
      <c r="G221" s="22">
        <v>1187194</v>
      </c>
      <c r="I221" s="44" t="s">
        <v>32</v>
      </c>
      <c r="J221" s="28">
        <v>358715</v>
      </c>
      <c r="K221" s="28">
        <v>0</v>
      </c>
      <c r="L221" s="28" t="s">
        <v>33</v>
      </c>
      <c r="M221" s="34">
        <v>148.80000000000001</v>
      </c>
      <c r="N221" s="37">
        <v>533767.92000000004</v>
      </c>
      <c r="O221" s="31">
        <v>4.2859999999999999E-3</v>
      </c>
      <c r="P221" s="31">
        <v>4.2859999999999999E-3</v>
      </c>
      <c r="Q221" s="28">
        <v>1</v>
      </c>
      <c r="R221" s="22" t="s">
        <v>493</v>
      </c>
      <c r="S221" s="22" t="s">
        <v>35</v>
      </c>
      <c r="T221" s="22">
        <v>2</v>
      </c>
    </row>
    <row r="222" spans="1:20" x14ac:dyDescent="0.3">
      <c r="B222" s="22" t="s">
        <v>494</v>
      </c>
      <c r="C222" s="22" t="s">
        <v>495</v>
      </c>
      <c r="F222" s="22">
        <v>1156280</v>
      </c>
      <c r="G222" s="22">
        <v>1156280</v>
      </c>
      <c r="I222" s="44" t="s">
        <v>32</v>
      </c>
      <c r="J222" s="28">
        <v>25966</v>
      </c>
      <c r="K222" s="28">
        <v>0</v>
      </c>
      <c r="L222" s="28" t="s">
        <v>33</v>
      </c>
      <c r="M222" s="34">
        <v>1048</v>
      </c>
      <c r="N222" s="37">
        <v>272123.68</v>
      </c>
      <c r="O222" s="31">
        <v>2.1849999999999999E-3</v>
      </c>
      <c r="P222" s="31">
        <v>2.1849999999999999E-3</v>
      </c>
      <c r="Q222" s="28">
        <v>1</v>
      </c>
      <c r="R222" s="22" t="s">
        <v>496</v>
      </c>
      <c r="S222" s="22" t="s">
        <v>35</v>
      </c>
      <c r="T222" s="22">
        <v>2</v>
      </c>
    </row>
    <row r="223" spans="1:20" x14ac:dyDescent="0.3">
      <c r="B223" s="22" t="s">
        <v>497</v>
      </c>
      <c r="C223" s="22" t="s">
        <v>83</v>
      </c>
      <c r="F223" s="22">
        <v>1134881</v>
      </c>
      <c r="G223" s="22">
        <v>1134881</v>
      </c>
      <c r="I223" s="44" t="s">
        <v>32</v>
      </c>
      <c r="J223" s="28">
        <v>143498</v>
      </c>
      <c r="K223" s="28">
        <v>0</v>
      </c>
      <c r="L223" s="28" t="s">
        <v>33</v>
      </c>
      <c r="M223" s="34">
        <v>818</v>
      </c>
      <c r="N223" s="37">
        <v>1173813.6399999999</v>
      </c>
      <c r="O223" s="31">
        <v>9.4249999999999994E-3</v>
      </c>
      <c r="P223" s="31">
        <v>9.4249999999999994E-3</v>
      </c>
      <c r="Q223" s="28">
        <v>1</v>
      </c>
      <c r="R223" s="22" t="s">
        <v>498</v>
      </c>
      <c r="S223" s="22" t="s">
        <v>35</v>
      </c>
      <c r="T223" s="22">
        <v>2</v>
      </c>
    </row>
    <row r="224" spans="1:20" x14ac:dyDescent="0.3">
      <c r="B224" s="22" t="s">
        <v>499</v>
      </c>
      <c r="C224" s="22" t="s">
        <v>500</v>
      </c>
      <c r="F224" s="22">
        <v>286013</v>
      </c>
      <c r="G224" s="22">
        <v>286013</v>
      </c>
      <c r="I224" s="44" t="s">
        <v>32</v>
      </c>
      <c r="J224" s="28">
        <v>4030.53</v>
      </c>
      <c r="K224" s="28">
        <v>0</v>
      </c>
      <c r="L224" s="28" t="s">
        <v>33</v>
      </c>
      <c r="M224" s="34">
        <v>2600</v>
      </c>
      <c r="N224" s="37">
        <v>104793.78</v>
      </c>
      <c r="O224" s="31">
        <v>8.4099999999999995E-4</v>
      </c>
      <c r="P224" s="31">
        <v>8.4099999999999995E-4</v>
      </c>
      <c r="Q224" s="28">
        <v>1</v>
      </c>
      <c r="R224" s="22" t="s">
        <v>501</v>
      </c>
      <c r="S224" s="22" t="s">
        <v>35</v>
      </c>
      <c r="T224" s="22">
        <v>2</v>
      </c>
    </row>
    <row r="225" spans="1:20" ht="14.5" thickBot="1" x14ac:dyDescent="0.35">
      <c r="A225" s="42" t="s">
        <v>630</v>
      </c>
      <c r="B225" s="23"/>
      <c r="C225" s="23"/>
      <c r="D225" s="32"/>
      <c r="E225" s="26"/>
      <c r="F225" s="23"/>
      <c r="G225" s="23"/>
      <c r="H225" s="29"/>
      <c r="I225" s="45"/>
      <c r="J225" s="29"/>
      <c r="K225" s="29"/>
      <c r="L225" s="29"/>
      <c r="M225" s="35"/>
      <c r="N225" s="38">
        <f>SUM(N220:N224)</f>
        <v>3015533.1799999997</v>
      </c>
      <c r="O225" s="32">
        <f>SUM(O220:O224)</f>
        <v>2.4212999999999998E-2</v>
      </c>
      <c r="P225" s="32">
        <f>SUM(P220:P224)</f>
        <v>2.4212999999999998E-2</v>
      </c>
      <c r="Q225" s="29"/>
      <c r="R225" s="23"/>
      <c r="S225" s="23"/>
    </row>
    <row r="226" spans="1:20" ht="18" x14ac:dyDescent="0.4">
      <c r="A226" s="40" t="s">
        <v>502</v>
      </c>
    </row>
    <row r="227" spans="1:20" x14ac:dyDescent="0.3">
      <c r="B227" s="22" t="s">
        <v>503</v>
      </c>
      <c r="C227" s="22" t="s">
        <v>504</v>
      </c>
      <c r="F227" s="22">
        <v>1096106</v>
      </c>
      <c r="G227" s="22">
        <v>1096106</v>
      </c>
      <c r="I227" s="44" t="s">
        <v>32</v>
      </c>
      <c r="J227" s="28">
        <v>9254</v>
      </c>
      <c r="K227" s="28">
        <v>0</v>
      </c>
      <c r="L227" s="28" t="s">
        <v>33</v>
      </c>
      <c r="M227" s="34">
        <v>7033</v>
      </c>
      <c r="N227" s="37">
        <v>650833.81999999995</v>
      </c>
      <c r="O227" s="31">
        <v>5.2259999999999997E-3</v>
      </c>
      <c r="P227" s="31">
        <v>5.2259999999999997E-3</v>
      </c>
      <c r="Q227" s="28">
        <v>1</v>
      </c>
      <c r="R227" s="22" t="s">
        <v>505</v>
      </c>
      <c r="S227" s="22" t="s">
        <v>35</v>
      </c>
      <c r="T227" s="22">
        <v>2</v>
      </c>
    </row>
    <row r="228" spans="1:20" x14ac:dyDescent="0.3">
      <c r="B228" s="22" t="s">
        <v>506</v>
      </c>
      <c r="C228" s="22" t="s">
        <v>507</v>
      </c>
      <c r="F228" s="22">
        <v>1157403</v>
      </c>
      <c r="G228" s="22">
        <v>1157403</v>
      </c>
      <c r="I228" s="44" t="s">
        <v>32</v>
      </c>
      <c r="J228" s="28">
        <v>451</v>
      </c>
      <c r="K228" s="28">
        <v>0</v>
      </c>
      <c r="L228" s="28" t="s">
        <v>33</v>
      </c>
      <c r="M228" s="34">
        <v>1491</v>
      </c>
      <c r="N228" s="37">
        <v>6724.41</v>
      </c>
      <c r="O228" s="31">
        <v>5.3000000000000001E-5</v>
      </c>
      <c r="P228" s="31">
        <v>5.3000000000000001E-5</v>
      </c>
      <c r="Q228" s="28">
        <v>1</v>
      </c>
      <c r="R228" s="22" t="s">
        <v>508</v>
      </c>
      <c r="S228" s="22" t="s">
        <v>35</v>
      </c>
      <c r="T228" s="22">
        <v>2</v>
      </c>
    </row>
    <row r="229" spans="1:20" x14ac:dyDescent="0.3">
      <c r="B229" s="22" t="s">
        <v>509</v>
      </c>
      <c r="C229" s="22" t="s">
        <v>510</v>
      </c>
      <c r="F229" s="22">
        <v>1158161</v>
      </c>
      <c r="G229" s="22">
        <v>1158161</v>
      </c>
      <c r="I229" s="44" t="s">
        <v>32</v>
      </c>
      <c r="J229" s="28">
        <v>4938</v>
      </c>
      <c r="K229" s="28">
        <v>0</v>
      </c>
      <c r="L229" s="28" t="s">
        <v>33</v>
      </c>
      <c r="M229" s="34">
        <v>2630</v>
      </c>
      <c r="N229" s="37">
        <v>129869.4</v>
      </c>
      <c r="O229" s="31">
        <v>1.042E-3</v>
      </c>
      <c r="P229" s="31">
        <v>1.042E-3</v>
      </c>
      <c r="Q229" s="28">
        <v>1</v>
      </c>
      <c r="R229" s="22" t="s">
        <v>511</v>
      </c>
      <c r="S229" s="22" t="s">
        <v>35</v>
      </c>
      <c r="T229" s="22">
        <v>2</v>
      </c>
    </row>
    <row r="230" spans="1:20" ht="14.5" thickBot="1" x14ac:dyDescent="0.35">
      <c r="A230" s="42" t="s">
        <v>631</v>
      </c>
      <c r="B230" s="23"/>
      <c r="C230" s="23"/>
      <c r="D230" s="32"/>
      <c r="E230" s="26"/>
      <c r="F230" s="23"/>
      <c r="G230" s="23"/>
      <c r="H230" s="29"/>
      <c r="I230" s="45"/>
      <c r="J230" s="29"/>
      <c r="K230" s="29"/>
      <c r="L230" s="29"/>
      <c r="M230" s="35"/>
      <c r="N230" s="38">
        <f>SUM(N227:N229)</f>
        <v>787427.63</v>
      </c>
      <c r="O230" s="32">
        <f>SUM(O227:O229)</f>
        <v>6.3210000000000002E-3</v>
      </c>
      <c r="P230" s="32">
        <f>SUM(P227:P229)</f>
        <v>6.3210000000000002E-3</v>
      </c>
      <c r="Q230" s="29"/>
      <c r="R230" s="23"/>
      <c r="S230" s="23"/>
    </row>
    <row r="231" spans="1:20" ht="18" x14ac:dyDescent="0.4">
      <c r="A231" s="40" t="s">
        <v>512</v>
      </c>
    </row>
    <row r="232" spans="1:20" x14ac:dyDescent="0.3">
      <c r="B232" s="22" t="s">
        <v>513</v>
      </c>
      <c r="C232" s="22" t="s">
        <v>514</v>
      </c>
      <c r="F232" s="22">
        <v>1084953</v>
      </c>
      <c r="G232" s="22">
        <v>1084953</v>
      </c>
      <c r="I232" s="44" t="s">
        <v>32</v>
      </c>
      <c r="J232" s="28">
        <v>1111</v>
      </c>
      <c r="K232" s="28">
        <v>0</v>
      </c>
      <c r="L232" s="28" t="s">
        <v>33</v>
      </c>
      <c r="M232" s="34">
        <v>1800</v>
      </c>
      <c r="N232" s="37">
        <v>19998</v>
      </c>
      <c r="O232" s="31">
        <v>1.6000000000000001E-4</v>
      </c>
      <c r="P232" s="31">
        <v>1.6000000000000001E-4</v>
      </c>
      <c r="Q232" s="28">
        <v>1</v>
      </c>
      <c r="R232" s="22" t="s">
        <v>515</v>
      </c>
      <c r="S232" s="22" t="s">
        <v>35</v>
      </c>
      <c r="T232" s="22">
        <v>2</v>
      </c>
    </row>
    <row r="233" spans="1:20" x14ac:dyDescent="0.3">
      <c r="B233" s="22" t="s">
        <v>516</v>
      </c>
      <c r="C233" s="22" t="s">
        <v>517</v>
      </c>
      <c r="F233" s="22">
        <v>273011</v>
      </c>
      <c r="G233" s="22">
        <v>273011</v>
      </c>
      <c r="I233" s="44" t="s">
        <v>32</v>
      </c>
      <c r="J233" s="28">
        <v>1982</v>
      </c>
      <c r="K233" s="28">
        <v>0</v>
      </c>
      <c r="L233" s="28" t="s">
        <v>33</v>
      </c>
      <c r="M233" s="34">
        <v>35500</v>
      </c>
      <c r="N233" s="37">
        <v>703610</v>
      </c>
      <c r="O233" s="31">
        <v>5.6499999999999996E-3</v>
      </c>
      <c r="P233" s="31">
        <v>5.6499999999999996E-3</v>
      </c>
      <c r="Q233" s="28">
        <v>1</v>
      </c>
      <c r="R233" s="22" t="s">
        <v>518</v>
      </c>
      <c r="S233" s="22" t="s">
        <v>35</v>
      </c>
      <c r="T233" s="22">
        <v>2</v>
      </c>
    </row>
    <row r="234" spans="1:20" x14ac:dyDescent="0.3">
      <c r="B234" s="22" t="s">
        <v>519</v>
      </c>
      <c r="C234" s="22" t="s">
        <v>520</v>
      </c>
      <c r="F234" s="22">
        <v>1226992</v>
      </c>
      <c r="G234" s="22">
        <v>1226992</v>
      </c>
      <c r="I234" s="44" t="s">
        <v>32</v>
      </c>
      <c r="J234" s="28">
        <v>36110</v>
      </c>
      <c r="K234" s="28">
        <v>0</v>
      </c>
      <c r="L234" s="28" t="s">
        <v>33</v>
      </c>
      <c r="M234" s="34">
        <v>479.7</v>
      </c>
      <c r="N234" s="37">
        <v>173219.67</v>
      </c>
      <c r="O234" s="31">
        <v>1.39E-3</v>
      </c>
      <c r="P234" s="31">
        <v>1.39E-3</v>
      </c>
      <c r="Q234" s="28">
        <v>1</v>
      </c>
      <c r="R234" s="22" t="s">
        <v>521</v>
      </c>
      <c r="S234" s="22" t="s">
        <v>35</v>
      </c>
      <c r="T234" s="22">
        <v>2</v>
      </c>
    </row>
    <row r="235" spans="1:20" x14ac:dyDescent="0.3">
      <c r="B235" s="22" t="s">
        <v>522</v>
      </c>
      <c r="C235" s="22" t="s">
        <v>523</v>
      </c>
      <c r="F235" s="22">
        <v>1083377</v>
      </c>
      <c r="G235" s="22">
        <v>1083377</v>
      </c>
      <c r="I235" s="44" t="s">
        <v>32</v>
      </c>
      <c r="J235" s="28">
        <v>35461</v>
      </c>
      <c r="K235" s="28">
        <v>0</v>
      </c>
      <c r="L235" s="28" t="s">
        <v>33</v>
      </c>
      <c r="M235" s="34">
        <v>1325</v>
      </c>
      <c r="N235" s="37">
        <v>469858.25</v>
      </c>
      <c r="O235" s="31">
        <v>3.7729999999999999E-3</v>
      </c>
      <c r="P235" s="31">
        <v>3.7729999999999999E-3</v>
      </c>
      <c r="Q235" s="28">
        <v>1</v>
      </c>
      <c r="R235" s="22" t="s">
        <v>524</v>
      </c>
      <c r="S235" s="22" t="s">
        <v>35</v>
      </c>
      <c r="T235" s="22">
        <v>2</v>
      </c>
    </row>
    <row r="236" spans="1:20" ht="14.5" thickBot="1" x14ac:dyDescent="0.35">
      <c r="A236" s="42" t="s">
        <v>632</v>
      </c>
      <c r="B236" s="23"/>
      <c r="C236" s="23"/>
      <c r="D236" s="32"/>
      <c r="E236" s="26"/>
      <c r="F236" s="23"/>
      <c r="G236" s="23"/>
      <c r="H236" s="29"/>
      <c r="I236" s="45"/>
      <c r="J236" s="29"/>
      <c r="K236" s="29"/>
      <c r="L236" s="29"/>
      <c r="M236" s="35"/>
      <c r="N236" s="38">
        <f>SUM(N232:N235)</f>
        <v>1366685.92</v>
      </c>
      <c r="O236" s="32">
        <f>SUM(O232:O235)</f>
        <v>1.0973E-2</v>
      </c>
      <c r="P236" s="32">
        <f>SUM(P232:P235)</f>
        <v>1.0973E-2</v>
      </c>
      <c r="Q236" s="29"/>
      <c r="R236" s="23"/>
      <c r="S236" s="23"/>
    </row>
    <row r="237" spans="1:20" ht="18" x14ac:dyDescent="0.4">
      <c r="A237" s="40" t="s">
        <v>525</v>
      </c>
    </row>
    <row r="238" spans="1:20" x14ac:dyDescent="0.3">
      <c r="B238" s="22" t="s">
        <v>526</v>
      </c>
      <c r="C238" s="22" t="s">
        <v>527</v>
      </c>
      <c r="F238" s="22">
        <v>230011</v>
      </c>
      <c r="G238" s="22">
        <v>230011</v>
      </c>
      <c r="I238" s="44" t="s">
        <v>32</v>
      </c>
      <c r="J238" s="28">
        <v>139957</v>
      </c>
      <c r="K238" s="28">
        <v>0</v>
      </c>
      <c r="L238" s="28" t="s">
        <v>33</v>
      </c>
      <c r="M238" s="34">
        <v>826.5</v>
      </c>
      <c r="N238" s="37">
        <v>1156744.605</v>
      </c>
      <c r="O238" s="31">
        <v>9.2879999999999994E-3</v>
      </c>
      <c r="P238" s="31">
        <v>9.2879999999999994E-3</v>
      </c>
      <c r="Q238" s="28">
        <v>1</v>
      </c>
      <c r="R238" s="22" t="s">
        <v>528</v>
      </c>
      <c r="S238" s="22" t="s">
        <v>35</v>
      </c>
      <c r="T238" s="22">
        <v>2</v>
      </c>
    </row>
    <row r="239" spans="1:20" x14ac:dyDescent="0.3">
      <c r="B239" s="22" t="s">
        <v>529</v>
      </c>
      <c r="C239" s="22" t="s">
        <v>60</v>
      </c>
      <c r="F239" s="22">
        <v>1101534</v>
      </c>
      <c r="G239" s="22">
        <v>1101534</v>
      </c>
      <c r="I239" s="44" t="s">
        <v>32</v>
      </c>
      <c r="J239" s="28">
        <v>460</v>
      </c>
      <c r="K239" s="28">
        <v>0</v>
      </c>
      <c r="L239" s="28" t="s">
        <v>33</v>
      </c>
      <c r="M239" s="34">
        <v>3653</v>
      </c>
      <c r="N239" s="37">
        <v>16803.8</v>
      </c>
      <c r="O239" s="31">
        <v>1.34E-4</v>
      </c>
      <c r="P239" s="31">
        <v>1.34E-4</v>
      </c>
      <c r="Q239" s="28">
        <v>1</v>
      </c>
      <c r="R239" s="22" t="s">
        <v>530</v>
      </c>
      <c r="S239" s="22" t="s">
        <v>35</v>
      </c>
      <c r="T239" s="22">
        <v>2</v>
      </c>
    </row>
    <row r="240" spans="1:20" ht="14.5" thickBot="1" x14ac:dyDescent="0.35">
      <c r="A240" s="43" t="s">
        <v>633</v>
      </c>
      <c r="B240" s="24"/>
      <c r="C240" s="24"/>
      <c r="D240" s="33"/>
      <c r="E240" s="27"/>
      <c r="F240" s="24"/>
      <c r="G240" s="24"/>
      <c r="H240" s="30"/>
      <c r="I240" s="46"/>
      <c r="J240" s="30"/>
      <c r="K240" s="30"/>
      <c r="L240" s="30"/>
      <c r="M240" s="36"/>
      <c r="N240" s="39">
        <f>SUM(N238:N239)</f>
        <v>1173548.405</v>
      </c>
      <c r="O240" s="33">
        <f>SUM(O238:O239)</f>
        <v>9.4219999999999998E-3</v>
      </c>
      <c r="P240" s="33">
        <f>SUM(P238:P239)</f>
        <v>9.4219999999999998E-3</v>
      </c>
      <c r="Q240" s="30"/>
      <c r="R240" s="24"/>
      <c r="S240" s="24"/>
    </row>
    <row r="241" spans="1:20" x14ac:dyDescent="0.3">
      <c r="A241" s="41" t="s">
        <v>634</v>
      </c>
      <c r="N241" s="37">
        <f>SUMIF(T:T,2,N:N)</f>
        <v>72104267.276700005</v>
      </c>
      <c r="O241" s="31">
        <f>SUMIF(T:T,2,O:O)</f>
        <v>0.57896599999999987</v>
      </c>
      <c r="P241" s="31">
        <f>SUMIF(T:T,2,P:P)</f>
        <v>0.57896599999999987</v>
      </c>
      <c r="T241" s="22">
        <v>-99</v>
      </c>
    </row>
    <row r="242" spans="1:20" ht="18" x14ac:dyDescent="0.4">
      <c r="A242" s="40" t="s">
        <v>635</v>
      </c>
    </row>
    <row r="243" spans="1:20" ht="18" x14ac:dyDescent="0.4">
      <c r="A243" s="40" t="s">
        <v>532</v>
      </c>
    </row>
    <row r="244" spans="1:20" x14ac:dyDescent="0.3">
      <c r="B244" s="22" t="s">
        <v>533</v>
      </c>
      <c r="C244" s="22" t="s">
        <v>534</v>
      </c>
      <c r="F244" s="22">
        <v>71270151</v>
      </c>
      <c r="G244" s="22" t="s">
        <v>535</v>
      </c>
      <c r="H244" s="28">
        <v>1370</v>
      </c>
      <c r="I244" s="44" t="s">
        <v>536</v>
      </c>
      <c r="J244" s="28">
        <v>1000</v>
      </c>
      <c r="K244" s="28">
        <v>0</v>
      </c>
      <c r="L244" s="28" t="s">
        <v>33</v>
      </c>
      <c r="M244" s="34">
        <v>1.37</v>
      </c>
      <c r="N244" s="37">
        <v>4304.951</v>
      </c>
      <c r="O244" s="31">
        <v>3.4E-5</v>
      </c>
      <c r="P244" s="31">
        <v>3.4E-5</v>
      </c>
      <c r="Q244" s="28">
        <v>3.1423000000000001</v>
      </c>
      <c r="R244" s="22" t="s">
        <v>537</v>
      </c>
      <c r="S244" s="22" t="s">
        <v>538</v>
      </c>
      <c r="T244" s="22">
        <v>3</v>
      </c>
    </row>
    <row r="245" spans="1:20" ht="14.5" thickBot="1" x14ac:dyDescent="0.35">
      <c r="A245" s="42" t="s">
        <v>636</v>
      </c>
      <c r="B245" s="23"/>
      <c r="C245" s="23"/>
      <c r="D245" s="32"/>
      <c r="E245" s="26"/>
      <c r="F245" s="23"/>
      <c r="G245" s="23"/>
      <c r="H245" s="29"/>
      <c r="I245" s="45"/>
      <c r="J245" s="29"/>
      <c r="K245" s="29"/>
      <c r="L245" s="29"/>
      <c r="M245" s="35"/>
      <c r="N245" s="38">
        <f>SUM(N244:N244)</f>
        <v>4304.951</v>
      </c>
      <c r="O245" s="32">
        <f>SUM(O244:O244)</f>
        <v>3.4E-5</v>
      </c>
      <c r="P245" s="32">
        <f>SUM(P244:P244)</f>
        <v>3.4E-5</v>
      </c>
      <c r="Q245" s="29"/>
      <c r="R245" s="23"/>
      <c r="S245" s="23"/>
    </row>
    <row r="246" spans="1:20" ht="18" x14ac:dyDescent="0.4">
      <c r="A246" s="40" t="s">
        <v>539</v>
      </c>
    </row>
    <row r="247" spans="1:20" x14ac:dyDescent="0.3">
      <c r="B247" s="22" t="s">
        <v>540</v>
      </c>
      <c r="C247" s="22" t="s">
        <v>541</v>
      </c>
      <c r="F247" s="22">
        <v>51599</v>
      </c>
      <c r="G247" s="22" t="s">
        <v>542</v>
      </c>
      <c r="H247" s="28">
        <v>333960.52</v>
      </c>
      <c r="I247" s="44" t="s">
        <v>536</v>
      </c>
      <c r="J247" s="28">
        <v>37148</v>
      </c>
      <c r="K247" s="28">
        <v>0</v>
      </c>
      <c r="L247" s="28" t="s">
        <v>33</v>
      </c>
      <c r="M247" s="34">
        <v>8.99</v>
      </c>
      <c r="N247" s="37">
        <v>1049404.142</v>
      </c>
      <c r="O247" s="31">
        <v>8.4259999999999995E-3</v>
      </c>
      <c r="P247" s="31">
        <v>8.4259999999999995E-3</v>
      </c>
      <c r="Q247" s="28">
        <v>3.1423000000000001</v>
      </c>
      <c r="R247" s="22" t="s">
        <v>543</v>
      </c>
      <c r="S247" s="22" t="s">
        <v>538</v>
      </c>
      <c r="T247" s="22">
        <v>3</v>
      </c>
    </row>
    <row r="248" spans="1:20" ht="14.5" thickBot="1" x14ac:dyDescent="0.35">
      <c r="A248" s="42" t="s">
        <v>637</v>
      </c>
      <c r="B248" s="23"/>
      <c r="C248" s="23"/>
      <c r="D248" s="32"/>
      <c r="E248" s="26"/>
      <c r="F248" s="23"/>
      <c r="G248" s="23"/>
      <c r="H248" s="29"/>
      <c r="I248" s="45"/>
      <c r="J248" s="29"/>
      <c r="K248" s="29"/>
      <c r="L248" s="29"/>
      <c r="M248" s="35"/>
      <c r="N248" s="38">
        <f>SUM(N247:N247)</f>
        <v>1049404.142</v>
      </c>
      <c r="O248" s="32">
        <f>SUM(O247:O247)</f>
        <v>8.4259999999999995E-3</v>
      </c>
      <c r="P248" s="32">
        <f>SUM(P247:P247)</f>
        <v>8.4259999999999995E-3</v>
      </c>
      <c r="Q248" s="29"/>
      <c r="R248" s="23"/>
      <c r="S248" s="23"/>
    </row>
    <row r="249" spans="1:20" ht="18" x14ac:dyDescent="0.4">
      <c r="A249" s="40" t="s">
        <v>544</v>
      </c>
    </row>
    <row r="250" spans="1:20" x14ac:dyDescent="0.3">
      <c r="B250" s="22" t="s">
        <v>545</v>
      </c>
      <c r="C250" s="22" t="s">
        <v>546</v>
      </c>
      <c r="F250" s="22">
        <v>72566748</v>
      </c>
      <c r="G250" s="22" t="s">
        <v>547</v>
      </c>
      <c r="H250" s="28">
        <v>262350</v>
      </c>
      <c r="I250" s="44" t="s">
        <v>536</v>
      </c>
      <c r="J250" s="28">
        <v>19080</v>
      </c>
      <c r="K250" s="28">
        <v>0</v>
      </c>
      <c r="L250" s="28" t="s">
        <v>33</v>
      </c>
      <c r="M250" s="34">
        <v>13.75</v>
      </c>
      <c r="N250" s="37">
        <v>824382.40500000003</v>
      </c>
      <c r="O250" s="31">
        <v>6.6189999999999999E-3</v>
      </c>
      <c r="P250" s="31">
        <v>6.6189999999999999E-3</v>
      </c>
      <c r="Q250" s="28">
        <v>3.1423000000000001</v>
      </c>
      <c r="R250" s="22" t="s">
        <v>548</v>
      </c>
      <c r="S250" s="22" t="s">
        <v>538</v>
      </c>
      <c r="T250" s="22">
        <v>3</v>
      </c>
    </row>
    <row r="251" spans="1:20" ht="14.5" thickBot="1" x14ac:dyDescent="0.35">
      <c r="A251" s="42" t="s">
        <v>638</v>
      </c>
      <c r="B251" s="23"/>
      <c r="C251" s="23"/>
      <c r="D251" s="32"/>
      <c r="E251" s="26"/>
      <c r="F251" s="23"/>
      <c r="G251" s="23"/>
      <c r="H251" s="29"/>
      <c r="I251" s="45"/>
      <c r="J251" s="29"/>
      <c r="K251" s="29"/>
      <c r="L251" s="29"/>
      <c r="M251" s="35"/>
      <c r="N251" s="38">
        <f>SUM(N250:N250)</f>
        <v>824382.40500000003</v>
      </c>
      <c r="O251" s="32">
        <f>SUM(O250:O250)</f>
        <v>6.6189999999999999E-3</v>
      </c>
      <c r="P251" s="32">
        <f>SUM(P250:P250)</f>
        <v>6.6189999999999999E-3</v>
      </c>
      <c r="Q251" s="29"/>
      <c r="R251" s="23"/>
      <c r="S251" s="23"/>
    </row>
    <row r="252" spans="1:20" ht="18" x14ac:dyDescent="0.4">
      <c r="A252" s="40" t="s">
        <v>549</v>
      </c>
    </row>
    <row r="253" spans="1:20" x14ac:dyDescent="0.3">
      <c r="B253" s="22" t="s">
        <v>550</v>
      </c>
      <c r="C253" s="22" t="s">
        <v>551</v>
      </c>
      <c r="F253" s="22">
        <v>72892698</v>
      </c>
      <c r="G253" s="22" t="s">
        <v>552</v>
      </c>
      <c r="H253" s="28">
        <v>37046.400000000001</v>
      </c>
      <c r="I253" s="44" t="s">
        <v>536</v>
      </c>
      <c r="J253" s="28">
        <v>510</v>
      </c>
      <c r="K253" s="28">
        <v>0</v>
      </c>
      <c r="L253" s="28" t="s">
        <v>33</v>
      </c>
      <c r="M253" s="34">
        <v>72.64</v>
      </c>
      <c r="N253" s="37">
        <v>116410.90272</v>
      </c>
      <c r="O253" s="31">
        <v>9.3400000000000004E-4</v>
      </c>
      <c r="P253" s="31">
        <v>9.3400000000000004E-4</v>
      </c>
      <c r="Q253" s="28">
        <v>3.1423000000000001</v>
      </c>
      <c r="R253" s="22" t="s">
        <v>553</v>
      </c>
      <c r="S253" s="22" t="s">
        <v>538</v>
      </c>
      <c r="T253" s="22">
        <v>3</v>
      </c>
    </row>
    <row r="254" spans="1:20" ht="14.5" thickBot="1" x14ac:dyDescent="0.35">
      <c r="A254" s="42" t="s">
        <v>639</v>
      </c>
      <c r="B254" s="23"/>
      <c r="C254" s="23"/>
      <c r="D254" s="32"/>
      <c r="E254" s="26"/>
      <c r="F254" s="23"/>
      <c r="G254" s="23"/>
      <c r="H254" s="29"/>
      <c r="I254" s="45"/>
      <c r="J254" s="29"/>
      <c r="K254" s="29"/>
      <c r="L254" s="29"/>
      <c r="M254" s="35"/>
      <c r="N254" s="38">
        <f>SUM(N253:N253)</f>
        <v>116410.90272</v>
      </c>
      <c r="O254" s="32">
        <f>SUM(O253:O253)</f>
        <v>9.3400000000000004E-4</v>
      </c>
      <c r="P254" s="32">
        <f>SUM(P253:P253)</f>
        <v>9.3400000000000004E-4</v>
      </c>
      <c r="Q254" s="29"/>
      <c r="R254" s="23"/>
      <c r="S254" s="23"/>
    </row>
    <row r="255" spans="1:20" ht="18" x14ac:dyDescent="0.4">
      <c r="A255" s="40" t="s">
        <v>554</v>
      </c>
    </row>
    <row r="256" spans="1:20" x14ac:dyDescent="0.3">
      <c r="B256" s="22" t="s">
        <v>555</v>
      </c>
      <c r="C256" s="22" t="s">
        <v>556</v>
      </c>
      <c r="F256" s="22">
        <v>12690</v>
      </c>
      <c r="G256" s="22" t="s">
        <v>557</v>
      </c>
      <c r="H256" s="28">
        <v>4334</v>
      </c>
      <c r="I256" s="44" t="s">
        <v>536</v>
      </c>
      <c r="J256" s="28">
        <v>220</v>
      </c>
      <c r="K256" s="28">
        <v>0</v>
      </c>
      <c r="L256" s="28" t="s">
        <v>33</v>
      </c>
      <c r="M256" s="34">
        <v>19.7</v>
      </c>
      <c r="N256" s="37">
        <v>13618.7282</v>
      </c>
      <c r="O256" s="31">
        <v>1.0900000000000001E-4</v>
      </c>
      <c r="P256" s="31">
        <v>1.0900000000000001E-4</v>
      </c>
      <c r="Q256" s="28">
        <v>3.1423000000000001</v>
      </c>
      <c r="R256" s="22" t="s">
        <v>558</v>
      </c>
      <c r="S256" s="22" t="s">
        <v>538</v>
      </c>
      <c r="T256" s="22">
        <v>3</v>
      </c>
    </row>
    <row r="257" spans="1:20" ht="14.5" thickBot="1" x14ac:dyDescent="0.35">
      <c r="A257" s="42" t="s">
        <v>640</v>
      </c>
      <c r="B257" s="23"/>
      <c r="C257" s="23"/>
      <c r="D257" s="32"/>
      <c r="E257" s="26"/>
      <c r="F257" s="23"/>
      <c r="G257" s="23"/>
      <c r="H257" s="29"/>
      <c r="I257" s="45"/>
      <c r="J257" s="29"/>
      <c r="K257" s="29"/>
      <c r="L257" s="29"/>
      <c r="M257" s="35"/>
      <c r="N257" s="38">
        <f>SUM(N256:N256)</f>
        <v>13618.7282</v>
      </c>
      <c r="O257" s="32">
        <f>SUM(O256:O256)</f>
        <v>1.0900000000000001E-4</v>
      </c>
      <c r="P257" s="32">
        <f>SUM(P256:P256)</f>
        <v>1.0900000000000001E-4</v>
      </c>
      <c r="Q257" s="29"/>
      <c r="R257" s="23"/>
      <c r="S257" s="23"/>
    </row>
    <row r="258" spans="1:20" ht="18" x14ac:dyDescent="0.4">
      <c r="A258" s="40" t="s">
        <v>559</v>
      </c>
    </row>
    <row r="259" spans="1:20" x14ac:dyDescent="0.3">
      <c r="B259" s="22" t="s">
        <v>560</v>
      </c>
      <c r="C259" s="22" t="s">
        <v>561</v>
      </c>
      <c r="F259" s="22">
        <v>72813280</v>
      </c>
      <c r="G259" s="22" t="s">
        <v>562</v>
      </c>
      <c r="H259" s="28">
        <v>403620</v>
      </c>
      <c r="I259" s="44" t="s">
        <v>536</v>
      </c>
      <c r="J259" s="28">
        <v>14000</v>
      </c>
      <c r="K259" s="28">
        <v>0</v>
      </c>
      <c r="L259" s="28" t="s">
        <v>33</v>
      </c>
      <c r="M259" s="34">
        <v>28.83</v>
      </c>
      <c r="N259" s="37">
        <v>1268295.1259999999</v>
      </c>
      <c r="O259" s="31">
        <v>1.0184E-2</v>
      </c>
      <c r="P259" s="31">
        <v>1.0184E-2</v>
      </c>
      <c r="Q259" s="28">
        <v>3.1423000000000001</v>
      </c>
      <c r="R259" s="22" t="s">
        <v>563</v>
      </c>
      <c r="S259" s="22" t="s">
        <v>538</v>
      </c>
      <c r="T259" s="22">
        <v>3</v>
      </c>
    </row>
    <row r="260" spans="1:20" x14ac:dyDescent="0.3">
      <c r="B260" s="22" t="s">
        <v>564</v>
      </c>
      <c r="C260" s="22" t="s">
        <v>565</v>
      </c>
      <c r="F260" s="22">
        <v>71048847</v>
      </c>
      <c r="G260" s="22" t="s">
        <v>566</v>
      </c>
      <c r="H260" s="28">
        <v>897504</v>
      </c>
      <c r="I260" s="44" t="s">
        <v>536</v>
      </c>
      <c r="J260" s="28">
        <v>18698</v>
      </c>
      <c r="K260" s="28">
        <v>0</v>
      </c>
      <c r="L260" s="28" t="s">
        <v>33</v>
      </c>
      <c r="M260" s="34">
        <v>48</v>
      </c>
      <c r="N260" s="37">
        <v>2820226.8191999998</v>
      </c>
      <c r="O260" s="31">
        <v>2.2645999999999999E-2</v>
      </c>
      <c r="P260" s="31">
        <v>2.2645999999999999E-2</v>
      </c>
      <c r="Q260" s="28">
        <v>3.1423000000000001</v>
      </c>
      <c r="R260" s="22" t="s">
        <v>567</v>
      </c>
      <c r="S260" s="22" t="s">
        <v>538</v>
      </c>
      <c r="T260" s="22">
        <v>3</v>
      </c>
    </row>
    <row r="261" spans="1:20" ht="14.5" thickBot="1" x14ac:dyDescent="0.35">
      <c r="A261" s="43" t="s">
        <v>641</v>
      </c>
      <c r="B261" s="24"/>
      <c r="C261" s="24"/>
      <c r="D261" s="33"/>
      <c r="E261" s="27"/>
      <c r="F261" s="24"/>
      <c r="G261" s="24"/>
      <c r="H261" s="30"/>
      <c r="I261" s="46"/>
      <c r="J261" s="30"/>
      <c r="K261" s="30"/>
      <c r="L261" s="30"/>
      <c r="M261" s="36"/>
      <c r="N261" s="39">
        <f>SUM(N259:N260)</f>
        <v>4088521.9452</v>
      </c>
      <c r="O261" s="33">
        <f>SUM(O259:O260)</f>
        <v>3.2829999999999998E-2</v>
      </c>
      <c r="P261" s="33">
        <f>SUM(P259:P260)</f>
        <v>3.2829999999999998E-2</v>
      </c>
      <c r="Q261" s="30"/>
      <c r="R261" s="24"/>
      <c r="S261" s="24"/>
    </row>
    <row r="262" spans="1:20" x14ac:dyDescent="0.3">
      <c r="A262" s="41" t="s">
        <v>642</v>
      </c>
      <c r="N262" s="37">
        <f>SUMIF(T:T,3,N:N)</f>
        <v>6096643.07412</v>
      </c>
      <c r="O262" s="31">
        <f>SUMIF(T:T,3,O:O)</f>
        <v>4.8952000000000002E-2</v>
      </c>
      <c r="P262" s="31">
        <f>SUMIF(T:T,3,P:P)</f>
        <v>4.8952000000000002E-2</v>
      </c>
      <c r="T262" s="22">
        <v>-99</v>
      </c>
    </row>
    <row r="263" spans="1:20" ht="18" x14ac:dyDescent="0.4">
      <c r="A263" s="40" t="s">
        <v>643</v>
      </c>
    </row>
    <row r="264" spans="1:20" ht="18" x14ac:dyDescent="0.4">
      <c r="A264" s="40" t="s">
        <v>569</v>
      </c>
    </row>
    <row r="265" spans="1:20" x14ac:dyDescent="0.3">
      <c r="B265" s="22" t="s">
        <v>570</v>
      </c>
      <c r="C265" s="22" t="s">
        <v>571</v>
      </c>
      <c r="F265" s="22">
        <v>73839953</v>
      </c>
      <c r="G265" s="22" t="s">
        <v>572</v>
      </c>
      <c r="H265" s="28">
        <v>60402.5</v>
      </c>
      <c r="I265" s="44" t="s">
        <v>536</v>
      </c>
      <c r="J265" s="28">
        <v>16325</v>
      </c>
      <c r="K265" s="28">
        <v>0</v>
      </c>
      <c r="L265" s="28" t="s">
        <v>33</v>
      </c>
      <c r="M265" s="34">
        <v>3.7</v>
      </c>
      <c r="N265" s="37">
        <v>189802.77575</v>
      </c>
      <c r="O265" s="31">
        <v>1.524E-3</v>
      </c>
      <c r="P265" s="31">
        <v>1.524E-3</v>
      </c>
      <c r="Q265" s="28">
        <v>3.1423000000000001</v>
      </c>
      <c r="R265" s="22" t="s">
        <v>573</v>
      </c>
      <c r="S265" s="22" t="s">
        <v>538</v>
      </c>
      <c r="T265" s="22">
        <v>4</v>
      </c>
    </row>
    <row r="266" spans="1:20" ht="14.5" thickBot="1" x14ac:dyDescent="0.35">
      <c r="A266" s="43" t="s">
        <v>644</v>
      </c>
      <c r="B266" s="24"/>
      <c r="C266" s="24"/>
      <c r="D266" s="33"/>
      <c r="E266" s="27"/>
      <c r="F266" s="24"/>
      <c r="G266" s="24"/>
      <c r="H266" s="30"/>
      <c r="I266" s="46"/>
      <c r="J266" s="30"/>
      <c r="K266" s="30"/>
      <c r="L266" s="30"/>
      <c r="M266" s="36"/>
      <c r="N266" s="39">
        <f>SUM(N265:N265)</f>
        <v>189802.77575</v>
      </c>
      <c r="O266" s="33">
        <f>SUM(O265:O265)</f>
        <v>1.524E-3</v>
      </c>
      <c r="P266" s="33">
        <f>SUM(P265:P265)</f>
        <v>1.524E-3</v>
      </c>
      <c r="Q266" s="30"/>
      <c r="R266" s="24"/>
      <c r="S266" s="24"/>
    </row>
    <row r="267" spans="1:20" x14ac:dyDescent="0.3">
      <c r="A267" s="41" t="s">
        <v>645</v>
      </c>
      <c r="N267" s="37">
        <f>SUMIF(T:T,4,N:N)</f>
        <v>189802.77575</v>
      </c>
      <c r="O267" s="31">
        <f>SUMIF(T:T,4,O:O)</f>
        <v>1.524E-3</v>
      </c>
      <c r="P267" s="31">
        <f>SUMIF(T:T,4,P:P)</f>
        <v>1.524E-3</v>
      </c>
      <c r="T267" s="22">
        <v>-99</v>
      </c>
    </row>
    <row r="268" spans="1:20" ht="18" x14ac:dyDescent="0.4">
      <c r="A268" s="40" t="s">
        <v>646</v>
      </c>
    </row>
    <row r="269" spans="1:20" ht="18" x14ac:dyDescent="0.4">
      <c r="A269" s="40" t="s">
        <v>575</v>
      </c>
    </row>
    <row r="270" spans="1:20" x14ac:dyDescent="0.3">
      <c r="B270" s="22" t="s">
        <v>576</v>
      </c>
      <c r="C270" s="22" t="s">
        <v>577</v>
      </c>
      <c r="F270" s="22">
        <v>33001</v>
      </c>
      <c r="G270" s="22" t="s">
        <v>578</v>
      </c>
      <c r="H270" s="28">
        <v>724405.44</v>
      </c>
      <c r="I270" s="44" t="s">
        <v>536</v>
      </c>
      <c r="J270" s="28">
        <v>1056</v>
      </c>
      <c r="K270" s="28">
        <v>0</v>
      </c>
      <c r="L270" s="28" t="s">
        <v>33</v>
      </c>
      <c r="M270" s="34">
        <v>685.99</v>
      </c>
      <c r="N270" s="37">
        <v>2276299.2141100001</v>
      </c>
      <c r="O270" s="31">
        <v>1.8279E-2</v>
      </c>
      <c r="P270" s="31">
        <v>1.8279E-2</v>
      </c>
      <c r="Q270" s="28">
        <v>3.1423000000000001</v>
      </c>
      <c r="R270" s="22" t="s">
        <v>579</v>
      </c>
      <c r="S270" s="22" t="s">
        <v>538</v>
      </c>
      <c r="T270" s="22">
        <v>5</v>
      </c>
    </row>
    <row r="271" spans="1:20" ht="14.5" thickBot="1" x14ac:dyDescent="0.35">
      <c r="A271" s="43" t="s">
        <v>647</v>
      </c>
      <c r="B271" s="24"/>
      <c r="C271" s="24"/>
      <c r="D271" s="33"/>
      <c r="E271" s="27"/>
      <c r="F271" s="24"/>
      <c r="G271" s="24"/>
      <c r="H271" s="30"/>
      <c r="I271" s="46"/>
      <c r="J271" s="30"/>
      <c r="K271" s="30"/>
      <c r="L271" s="30"/>
      <c r="M271" s="36"/>
      <c r="N271" s="39">
        <f>SUM(N270:N270)</f>
        <v>2276299.2141100001</v>
      </c>
      <c r="O271" s="33">
        <f>SUM(O270:O270)</f>
        <v>1.8279E-2</v>
      </c>
      <c r="P271" s="33">
        <f>SUM(P270:P270)</f>
        <v>1.8279E-2</v>
      </c>
      <c r="Q271" s="30"/>
      <c r="R271" s="24"/>
      <c r="S271" s="24"/>
    </row>
    <row r="272" spans="1:20" x14ac:dyDescent="0.3">
      <c r="A272" s="41" t="s">
        <v>648</v>
      </c>
      <c r="N272" s="37">
        <f>SUMIF(T:T,5,N:N)</f>
        <v>2276299.2141100001</v>
      </c>
      <c r="O272" s="31">
        <f>SUMIF(T:T,5,O:O)</f>
        <v>1.8279E-2</v>
      </c>
      <c r="P272" s="31">
        <f>SUMIF(T:T,5,P:P)</f>
        <v>1.8279E-2</v>
      </c>
      <c r="T272" s="22">
        <v>-99</v>
      </c>
    </row>
    <row r="274" spans="1:20" ht="14.5" thickBot="1" x14ac:dyDescent="0.35">
      <c r="A274" s="43" t="s">
        <v>581</v>
      </c>
      <c r="B274" s="24"/>
      <c r="C274" s="24"/>
      <c r="D274" s="33"/>
      <c r="E274" s="27"/>
      <c r="F274" s="24"/>
      <c r="G274" s="24"/>
      <c r="H274" s="30"/>
      <c r="I274" s="46"/>
      <c r="J274" s="30"/>
      <c r="K274" s="30"/>
      <c r="L274" s="30"/>
      <c r="M274" s="36"/>
      <c r="N274" s="54">
        <f>SUMIF(T:T,-99,N:N)</f>
        <v>123713035.83746003</v>
      </c>
      <c r="O274" s="33">
        <f>SUMIF(T:T,-99,O:O)</f>
        <v>0.99334999999999984</v>
      </c>
      <c r="P274" s="33">
        <f>SUMIF(T:T,-99,P:P)</f>
        <v>0.99334999999999984</v>
      </c>
      <c r="Q274" s="30"/>
      <c r="R274" s="24"/>
      <c r="S274" s="24"/>
      <c r="T274" s="22">
        <v>-44</v>
      </c>
    </row>
    <row r="276" spans="1:20" ht="14.5" thickBot="1" x14ac:dyDescent="0.35">
      <c r="A276" s="43" t="s">
        <v>584</v>
      </c>
      <c r="B276" s="24"/>
      <c r="C276" s="24"/>
      <c r="D276" s="33"/>
      <c r="E276" s="27"/>
      <c r="F276" s="24"/>
      <c r="G276" s="24"/>
      <c r="H276" s="30"/>
      <c r="I276" s="46"/>
      <c r="J276" s="30"/>
      <c r="K276" s="30"/>
      <c r="L276" s="30"/>
      <c r="M276" s="36"/>
      <c r="N276" s="39">
        <v>810108.93</v>
      </c>
      <c r="O276" s="33">
        <v>6.5100000000000002E-3</v>
      </c>
      <c r="P276" s="33">
        <v>6.5100000000000002E-3</v>
      </c>
      <c r="Q276" s="30"/>
      <c r="R276" s="24"/>
      <c r="S276" s="24"/>
      <c r="T276" s="22">
        <v>-44</v>
      </c>
    </row>
    <row r="278" spans="1:20" ht="14.5" thickBot="1" x14ac:dyDescent="0.35">
      <c r="A278" s="43" t="s">
        <v>583</v>
      </c>
      <c r="B278" s="24"/>
      <c r="C278" s="24"/>
      <c r="D278" s="33"/>
      <c r="E278" s="27"/>
      <c r="F278" s="24"/>
      <c r="G278" s="24"/>
      <c r="H278" s="30"/>
      <c r="I278" s="46"/>
      <c r="J278" s="30"/>
      <c r="K278" s="30"/>
      <c r="L278" s="30"/>
      <c r="M278" s="36"/>
      <c r="N278" s="39">
        <v>7461.2342399999998</v>
      </c>
      <c r="O278" s="33">
        <v>6.0000000000000002E-5</v>
      </c>
      <c r="P278" s="33">
        <v>6.0000000000000002E-5</v>
      </c>
      <c r="Q278" s="30"/>
      <c r="R278" s="24"/>
      <c r="S278" s="24"/>
      <c r="T278" s="22">
        <v>-44</v>
      </c>
    </row>
    <row r="280" spans="1:20" ht="14.5" thickBot="1" x14ac:dyDescent="0.35">
      <c r="A280" s="43" t="s">
        <v>649</v>
      </c>
      <c r="B280" s="24"/>
      <c r="C280" s="24"/>
      <c r="D280" s="33"/>
      <c r="E280" s="27"/>
      <c r="F280" s="24"/>
      <c r="G280" s="24"/>
      <c r="H280" s="30"/>
      <c r="I280" s="46"/>
      <c r="J280" s="30"/>
      <c r="K280" s="30"/>
      <c r="L280" s="30"/>
      <c r="M280" s="36"/>
      <c r="N280" s="39">
        <f>SUMIF(T:T,-44,N:N)</f>
        <v>124530606.00170003</v>
      </c>
      <c r="O280" s="33">
        <f>SUMIF(T:T,-44,O:O)</f>
        <v>0.99991999999999981</v>
      </c>
      <c r="P280" s="33">
        <f>SUMIF(T:T,-44,P:P)</f>
        <v>0.99991999999999981</v>
      </c>
      <c r="Q280" s="30"/>
      <c r="R280" s="24"/>
      <c r="S280" s="2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עציוני (4D) גמישה</vt:lpstr>
      <vt:lpstr>גיליון_2</vt:lpstr>
      <vt:lpstr>גיליון_3</vt:lpstr>
      <vt:lpstr>ריכוז מצב השקעות</vt:lpstr>
      <vt:lpstr>סיכום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Bar, Refael</cp:lastModifiedBy>
  <dcterms:created xsi:type="dcterms:W3CDTF">2026-03-26T12:02:05Z</dcterms:created>
  <dcterms:modified xsi:type="dcterms:W3CDTF">2026-05-27T06:36:59Z</dcterms:modified>
</cp:coreProperties>
</file>