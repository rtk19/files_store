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och_caspi\2026\02-2026\קרנות נאמנות\סיגמא\5136767\"/>
    </mc:Choice>
  </mc:AlternateContent>
  <bookViews>
    <workbookView xWindow="0" yWindow="0" windowWidth="12945" windowHeight="11775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9" i="1" l="1"/>
  <c r="A19" i="1"/>
  <c r="A18" i="1"/>
  <c r="A16" i="1"/>
  <c r="A12" i="1"/>
  <c r="A3" i="1"/>
</calcChain>
</file>

<file path=xl/sharedStrings.xml><?xml version="1.0" encoding="utf-8"?>
<sst xmlns="http://schemas.openxmlformats.org/spreadsheetml/2006/main" count="169" uniqueCount="84">
  <si>
    <t>יתרה נבחרת בש"ח</t>
  </si>
  <si>
    <t>יתרה נבחרת</t>
  </si>
  <si>
    <t>שינוי</t>
  </si>
  <si>
    <t>מספר נייר</t>
  </si>
  <si>
    <t>שם נייר</t>
  </si>
  <si>
    <t>מגזר הצמדה</t>
  </si>
  <si>
    <t>סוג פעולה</t>
  </si>
  <si>
    <t xml:space="preserve">תיאור סוג פעולה </t>
  </si>
  <si>
    <t>תאריך איקס</t>
  </si>
  <si>
    <t>תאריך תשלום</t>
  </si>
  <si>
    <t>שער נייר</t>
  </si>
  <si>
    <t>תשלום %</t>
  </si>
  <si>
    <t>יתרת בנק בש"ח</t>
  </si>
  <si>
    <t>יתרת בנק</t>
  </si>
  <si>
    <t>מטבע</t>
  </si>
  <si>
    <t>קוד מטבע</t>
  </si>
  <si>
    <t>כמות בנק</t>
  </si>
  <si>
    <t>כמות נבחרת</t>
  </si>
  <si>
    <t>בנק יתרה</t>
  </si>
  <si>
    <t>מספר בנק יתרה</t>
  </si>
  <si>
    <t>סניף יתרה</t>
  </si>
  <si>
    <t>חשבון יתרה</t>
  </si>
  <si>
    <t>חשבון Prefix</t>
  </si>
  <si>
    <t>חשבון Suffix</t>
  </si>
  <si>
    <t>בנק</t>
  </si>
  <si>
    <t>מספר בנק</t>
  </si>
  <si>
    <t>כמות מחושבת</t>
  </si>
  <si>
    <t>יתרה מחושבת בש"ח</t>
  </si>
  <si>
    <t>יתרה מחושבת</t>
  </si>
  <si>
    <t>מספר כרטיס הנה"ח</t>
  </si>
  <si>
    <t/>
  </si>
  <si>
    <t>ריבית חובה</t>
  </si>
  <si>
    <t>ILS</t>
  </si>
  <si>
    <t>בינלאומי</t>
  </si>
  <si>
    <t>007-002-000-99105009-000-031-046-929951-00000-00000</t>
  </si>
  <si>
    <t>תמר פטרו אגח א</t>
  </si>
  <si>
    <t>מט"חי</t>
  </si>
  <si>
    <t>ריבית</t>
  </si>
  <si>
    <t>007-201-000-01141332-000-031-046-929951-00000-00000</t>
  </si>
  <si>
    <t>פתאל אירו אגח ג</t>
  </si>
  <si>
    <t>שקלי</t>
  </si>
  <si>
    <t>007-201-000-01141852-000-031-046-929951-00000-00000</t>
  </si>
  <si>
    <t>תמר פטרו אגח ב</t>
  </si>
  <si>
    <t>007-201-000-01143593-000-031-046-929951-00000-00000</t>
  </si>
  <si>
    <t>או.פי.סי אגח ג</t>
  </si>
  <si>
    <t>007-201-000-01180355-000-031-046-929951-00000-00000</t>
  </si>
  <si>
    <t>יו.אמ.איץ 'אגחא</t>
  </si>
  <si>
    <t>007-201-000-01184167-000-031-046-929951-00000-00000</t>
  </si>
  <si>
    <t>ספנסר אגח ד</t>
  </si>
  <si>
    <t>007-201-000-01188788-000-031-046-929951-00000-00000</t>
  </si>
  <si>
    <t>אנלייט אנר אגחו</t>
  </si>
  <si>
    <t>007-201-000-07200173-000-031-046-929951-00000-00000</t>
  </si>
  <si>
    <t>אנלייט אנ אגח ד</t>
  </si>
  <si>
    <t>007-201-000-07200256-000-031-046-929951-00000-00000</t>
  </si>
  <si>
    <t>פידיון</t>
  </si>
  <si>
    <t>007-204-000-01141332-000-031-046-929951-00000-00000</t>
  </si>
  <si>
    <t>007-204-000-01143593-000-031-046-929951-00000-00000</t>
  </si>
  <si>
    <t>007-204-000-01180355-000-031-046-929951-00000-00000</t>
  </si>
  <si>
    <t>אודיוקודס</t>
  </si>
  <si>
    <t>דיבידנד</t>
  </si>
  <si>
    <t>USD</t>
  </si>
  <si>
    <t>007-202-000-01082965-001-031-046-929951-00000-00000</t>
  </si>
  <si>
    <t>ריבית חובה סה"כ</t>
  </si>
  <si>
    <t>ריבית סה"כ</t>
  </si>
  <si>
    <t>פידיון סה"כ</t>
  </si>
  <si>
    <t>דיבידנד סה"כ</t>
  </si>
  <si>
    <t>סכום כולל</t>
  </si>
  <si>
    <t>הערה</t>
  </si>
  <si>
    <t>תאריך התחלה</t>
  </si>
  <si>
    <t>תאריך עדכון</t>
  </si>
  <si>
    <t>נושא</t>
  </si>
  <si>
    <t>קוד פרוט</t>
  </si>
  <si>
    <t>קוד נושא</t>
  </si>
  <si>
    <t>החזר מס מניה דואלית 71048847 ITRN ת.ת. 03/04/2025</t>
  </si>
  <si>
    <t>החזר צפוי של נכוי במקור</t>
  </si>
  <si>
    <t>105-117-031-28811277-000-031-046-929951-00000-00000</t>
  </si>
  <si>
    <t>החזר מס אקס בנייר 71048847 מה-23.12 (לא עלה בזמן) ת.ת 8.1.25</t>
  </si>
  <si>
    <t>105-117-031-29207528-000-031-046-929951-00000-00000</t>
  </si>
  <si>
    <t>החזר מס מניה דואלית 71048847 ITRN ת.ת. 02/07/2025</t>
  </si>
  <si>
    <t>105-117-031-29730531-000-031-046-929951-00000-00000</t>
  </si>
  <si>
    <t>החזר מס מניה דואלית 71048847 ITRN ת.ת. 10/10/2025</t>
  </si>
  <si>
    <t>105-117-031-30723808-000-031-046-929951-00000-00000</t>
  </si>
  <si>
    <t>החזר מס מניה דואלית 71048847 ITRN ת.ת. 15/01/2026</t>
  </si>
  <si>
    <t>105-117-031-31743410-000-031-046-929951-00000-00000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</si>
</sst>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\/mm\/yyyy"/>
    <numFmt numFmtId="165" formatCode="#,##0.00%"/>
    <numFmt numFmtId="170" formatCode="dd\/mm\/yyyy\ hh:mm"/>
  </numFmts>
  <fonts count="4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horizontal="right"/>
    </xf>
  </cellStyleXfs>
  <cellXfs count="25">
    <xf numFmtId="0" fontId="0" fillId="0" borderId="0" xfId="0">
      <alignment horizontal="right"/>
    </xf>
    <xf numFmtId="4" fontId="0" fillId="0" borderId="0" xfId="0" applyNumberFormat="1" applyAlignment="1"/>
    <xf numFmtId="1" fontId="0" fillId="0" borderId="0" xfId="0" applyNumberFormat="1" applyAlignment="1"/>
    <xf numFmtId="49" fontId="0" fillId="0" borderId="0" xfId="0" applyNumberFormat="1" applyAlignment="1"/>
    <xf numFmtId="0" fontId="0" fillId="0" borderId="0" xfId="0" applyNumberFormat="1" applyAlignment="1"/>
    <xf numFmtId="164" fontId="0" fillId="0" borderId="0" xfId="0" applyNumberFormat="1" applyAlignment="1"/>
    <xf numFmtId="165" fontId="0" fillId="0" borderId="0" xfId="0" applyNumberFormat="1" applyAlignment="1"/>
    <xf numFmtId="4" fontId="2" fillId="0" borderId="1" xfId="0" quotePrefix="1" applyNumberFormat="1" applyFont="1" applyBorder="1" applyAlignment="1">
      <alignment horizontal="right"/>
    </xf>
    <xf numFmtId="1" fontId="2" fillId="0" borderId="1" xfId="0" quotePrefix="1" applyNumberFormat="1" applyFont="1" applyBorder="1" applyAlignment="1">
      <alignment horizontal="right"/>
    </xf>
    <xf numFmtId="49" fontId="2" fillId="0" borderId="1" xfId="0" quotePrefix="1" applyNumberFormat="1" applyFont="1" applyBorder="1" applyAlignment="1">
      <alignment horizontal="right"/>
    </xf>
    <xf numFmtId="0" fontId="2" fillId="0" borderId="1" xfId="0" quotePrefix="1" applyNumberFormat="1" applyFont="1" applyBorder="1" applyAlignment="1">
      <alignment horizontal="right"/>
    </xf>
    <xf numFmtId="164" fontId="2" fillId="0" borderId="1" xfId="0" quotePrefix="1" applyNumberFormat="1" applyFont="1" applyBorder="1" applyAlignment="1">
      <alignment horizontal="right"/>
    </xf>
    <xf numFmtId="165" fontId="2" fillId="0" borderId="1" xfId="0" quotePrefix="1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4" fontId="1" fillId="0" borderId="0" xfId="0" applyNumberFormat="1" applyFont="1" applyAlignment="1"/>
    <xf numFmtId="0" fontId="1" fillId="0" borderId="0" xfId="0" applyNumberFormat="1" applyFont="1" applyAlignment="1"/>
    <xf numFmtId="4" fontId="3" fillId="0" borderId="0" xfId="0" applyNumberFormat="1" applyFont="1" applyAlignment="1"/>
    <xf numFmtId="0" fontId="0" fillId="0" borderId="0" xfId="0">
      <alignment horizontal="right"/>
    </xf>
    <xf numFmtId="4" fontId="0" fillId="0" borderId="0" xfId="0" applyNumberFormat="1" applyAlignment="1"/>
    <xf numFmtId="0" fontId="0" fillId="0" borderId="0" xfId="0" applyNumberFormat="1" applyAlignment="1"/>
    <xf numFmtId="170" fontId="0" fillId="0" borderId="0" xfId="0" applyNumberFormat="1" applyAlignment="1"/>
    <xf numFmtId="4" fontId="2" fillId="0" borderId="1" xfId="0" quotePrefix="1" applyNumberFormat="1" applyFont="1" applyBorder="1" applyAlignment="1">
      <alignment horizontal="right"/>
    </xf>
    <xf numFmtId="0" fontId="2" fillId="0" borderId="1" xfId="0" quotePrefix="1" applyNumberFormat="1" applyFont="1" applyBorder="1" applyAlignment="1">
      <alignment horizontal="right"/>
    </xf>
    <xf numFmtId="170" fontId="2" fillId="0" borderId="1" xfId="0" quotePrefix="1" applyNumberFormat="1" applyFont="1" applyBorder="1" applyAlignment="1">
      <alignment horizontal="right"/>
    </xf>
    <xf numFmtId="0" fontId="2" fillId="0" borderId="1" xfId="0" applyNumberFormat="1" applyFont="1" applyBorder="1" applyAlignment="1">
      <alignment horizontal="right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9"/>
  <sheetViews>
    <sheetView rightToLeft="1" tabSelected="1" workbookViewId="0">
      <selection activeCell="A29" sqref="A29"/>
    </sheetView>
  </sheetViews>
  <sheetFormatPr defaultRowHeight="14.25" outlineLevelRow="2" x14ac:dyDescent="0.2"/>
  <cols>
    <col min="1" max="1" width="14.75" style="1" bestFit="1" customWidth="1"/>
    <col min="2" max="2" width="10.125" style="1" bestFit="1" customWidth="1"/>
    <col min="3" max="3" width="7" style="1" bestFit="1" customWidth="1"/>
    <col min="4" max="4" width="8.875" style="2" bestFit="1" customWidth="1"/>
    <col min="5" max="5" width="52.625" style="3" bestFit="1" customWidth="1"/>
    <col min="6" max="7" width="15" style="4" bestFit="1" customWidth="1"/>
    <col min="8" max="8" width="13.125" style="4" bestFit="1" customWidth="1"/>
    <col min="9" max="9" width="9.875" style="5" bestFit="1" customWidth="1"/>
    <col min="10" max="10" width="10.875" style="5" bestFit="1" customWidth="1"/>
    <col min="11" max="11" width="7.875" style="1" bestFit="1" customWidth="1"/>
    <col min="12" max="12" width="8" style="6" bestFit="1" customWidth="1"/>
    <col min="13" max="13" width="12.375" style="1" bestFit="1" customWidth="1"/>
    <col min="14" max="14" width="9.875" style="1" bestFit="1" customWidth="1"/>
    <col min="15" max="15" width="5.125" style="4" bestFit="1" customWidth="1"/>
    <col min="16" max="16" width="8" style="4" bestFit="1" customWidth="1"/>
    <col min="17" max="18" width="10.5" style="1" bestFit="1" customWidth="1"/>
    <col min="19" max="19" width="7.75" style="4" bestFit="1" customWidth="1"/>
    <col min="20" max="20" width="12.5" style="4" bestFit="1" customWidth="1"/>
    <col min="21" max="21" width="8.375" style="4" bestFit="1" customWidth="1"/>
    <col min="22" max="22" width="9.25" style="4" bestFit="1" customWidth="1"/>
    <col min="23" max="23" width="10.125" style="4" bestFit="1" customWidth="1"/>
    <col min="24" max="24" width="10" style="4" bestFit="1" customWidth="1"/>
    <col min="25" max="25" width="6.625" style="4" bestFit="1" customWidth="1"/>
    <col min="26" max="26" width="8.25" style="4" bestFit="1" customWidth="1"/>
    <col min="27" max="27" width="11.125" style="1" bestFit="1" customWidth="1"/>
    <col min="28" max="28" width="15.875" style="1" bestFit="1" customWidth="1"/>
    <col min="29" max="29" width="11.25" style="1" bestFit="1" customWidth="1"/>
    <col min="30" max="30" width="49.625" style="4" bestFit="1" customWidth="1"/>
  </cols>
  <sheetData>
    <row r="1" spans="1:30" s="13" customFormat="1" x14ac:dyDescent="0.2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11" t="s">
        <v>9</v>
      </c>
      <c r="K1" s="7" t="s">
        <v>10</v>
      </c>
      <c r="L1" s="12" t="s">
        <v>11</v>
      </c>
      <c r="M1" s="7" t="s">
        <v>12</v>
      </c>
      <c r="N1" s="7" t="s">
        <v>13</v>
      </c>
      <c r="O1" s="10" t="s">
        <v>14</v>
      </c>
      <c r="P1" s="10" t="s">
        <v>15</v>
      </c>
      <c r="Q1" s="7" t="s">
        <v>16</v>
      </c>
      <c r="R1" s="7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7" t="s">
        <v>26</v>
      </c>
      <c r="AB1" s="7" t="s">
        <v>27</v>
      </c>
      <c r="AC1" s="7" t="s">
        <v>28</v>
      </c>
      <c r="AD1" s="10" t="s">
        <v>29</v>
      </c>
    </row>
    <row r="2" spans="1:30" outlineLevel="2" x14ac:dyDescent="0.2">
      <c r="A2" s="1">
        <v>-5.55</v>
      </c>
      <c r="B2" s="1">
        <v>-5.55</v>
      </c>
      <c r="C2" s="1">
        <v>0</v>
      </c>
      <c r="D2" s="2">
        <v>99105009</v>
      </c>
      <c r="E2" s="3" t="s">
        <v>30</v>
      </c>
      <c r="G2" s="4">
        <v>2</v>
      </c>
      <c r="H2" s="4" t="s">
        <v>31</v>
      </c>
      <c r="K2" s="1">
        <v>0</v>
      </c>
      <c r="M2" s="1">
        <v>-5.55</v>
      </c>
      <c r="N2" s="1">
        <v>-5.55</v>
      </c>
      <c r="O2" s="4" t="s">
        <v>32</v>
      </c>
      <c r="P2" s="4">
        <v>0</v>
      </c>
      <c r="Q2" s="1">
        <v>0</v>
      </c>
      <c r="R2" s="1">
        <v>0</v>
      </c>
      <c r="S2" s="4" t="s">
        <v>33</v>
      </c>
      <c r="T2" s="4">
        <v>31</v>
      </c>
      <c r="U2" s="4">
        <v>46</v>
      </c>
      <c r="V2" s="4">
        <v>929951</v>
      </c>
      <c r="Y2" s="4" t="s">
        <v>33</v>
      </c>
      <c r="Z2" s="4">
        <v>31</v>
      </c>
      <c r="AB2" s="1">
        <v>-5.55</v>
      </c>
      <c r="AC2" s="1">
        <v>-5.55</v>
      </c>
      <c r="AD2" s="4" t="s">
        <v>34</v>
      </c>
    </row>
    <row r="3" spans="1:30" ht="15" outlineLevel="1" x14ac:dyDescent="0.25">
      <c r="A3" s="16">
        <f>SUBTOTAL(9,A2:A2)</f>
        <v>-5.55</v>
      </c>
      <c r="H3" s="14" t="s">
        <v>62</v>
      </c>
    </row>
    <row r="4" spans="1:30" outlineLevel="2" x14ac:dyDescent="0.2">
      <c r="A4" s="1">
        <v>40886.410000000003</v>
      </c>
      <c r="B4" s="1">
        <v>40886.410000000003</v>
      </c>
      <c r="C4" s="1">
        <v>0</v>
      </c>
      <c r="D4" s="2">
        <v>1141332</v>
      </c>
      <c r="E4" s="3" t="s">
        <v>35</v>
      </c>
      <c r="F4" s="4" t="s">
        <v>36</v>
      </c>
      <c r="G4" s="4">
        <v>201</v>
      </c>
      <c r="H4" s="4" t="s">
        <v>37</v>
      </c>
      <c r="I4" s="5">
        <v>46076</v>
      </c>
      <c r="J4" s="5">
        <v>46082</v>
      </c>
      <c r="K4" s="1">
        <v>87.02</v>
      </c>
      <c r="L4" s="6">
        <v>9.3799999999999994E-2</v>
      </c>
      <c r="M4" s="1">
        <v>40886.410000000003</v>
      </c>
      <c r="N4" s="1">
        <v>40886.410000000003</v>
      </c>
      <c r="O4" s="4" t="s">
        <v>32</v>
      </c>
      <c r="P4" s="4">
        <v>0</v>
      </c>
      <c r="Q4" s="1">
        <v>0</v>
      </c>
      <c r="R4" s="1">
        <v>0</v>
      </c>
      <c r="S4" s="4" t="s">
        <v>33</v>
      </c>
      <c r="T4" s="4">
        <v>31</v>
      </c>
      <c r="U4" s="4">
        <v>46</v>
      </c>
      <c r="V4" s="4">
        <v>929951</v>
      </c>
      <c r="Y4" s="4" t="s">
        <v>33</v>
      </c>
      <c r="Z4" s="4">
        <v>31</v>
      </c>
      <c r="AB4" s="1">
        <v>40886.410000000003</v>
      </c>
      <c r="AC4" s="1">
        <v>40886.410000000003</v>
      </c>
      <c r="AD4" s="4" t="s">
        <v>38</v>
      </c>
    </row>
    <row r="5" spans="1:30" outlineLevel="2" x14ac:dyDescent="0.2">
      <c r="A5" s="1">
        <v>5694.31</v>
      </c>
      <c r="B5" s="1">
        <v>5694.31</v>
      </c>
      <c r="C5" s="1">
        <v>0</v>
      </c>
      <c r="D5" s="2">
        <v>1141852</v>
      </c>
      <c r="E5" s="3" t="s">
        <v>39</v>
      </c>
      <c r="F5" s="4" t="s">
        <v>40</v>
      </c>
      <c r="G5" s="4">
        <v>201</v>
      </c>
      <c r="H5" s="4" t="s">
        <v>37</v>
      </c>
      <c r="I5" s="5">
        <v>46076</v>
      </c>
      <c r="J5" s="5">
        <v>46082</v>
      </c>
      <c r="K5" s="1">
        <v>97.81</v>
      </c>
      <c r="L5" s="6">
        <v>1.325E-2</v>
      </c>
      <c r="M5" s="1">
        <v>5694.31</v>
      </c>
      <c r="N5" s="1">
        <v>5694.31</v>
      </c>
      <c r="O5" s="4" t="s">
        <v>32</v>
      </c>
      <c r="P5" s="4">
        <v>0</v>
      </c>
      <c r="Q5" s="1">
        <v>0</v>
      </c>
      <c r="R5" s="1">
        <v>0</v>
      </c>
      <c r="S5" s="4" t="s">
        <v>33</v>
      </c>
      <c r="T5" s="4">
        <v>31</v>
      </c>
      <c r="U5" s="4">
        <v>46</v>
      </c>
      <c r="V5" s="4">
        <v>929951</v>
      </c>
      <c r="Y5" s="4" t="s">
        <v>33</v>
      </c>
      <c r="Z5" s="4">
        <v>31</v>
      </c>
      <c r="AB5" s="1">
        <v>5694.31</v>
      </c>
      <c r="AC5" s="1">
        <v>5694.31</v>
      </c>
      <c r="AD5" s="4" t="s">
        <v>41</v>
      </c>
    </row>
    <row r="6" spans="1:30" outlineLevel="2" x14ac:dyDescent="0.2">
      <c r="A6" s="1">
        <v>10225.75</v>
      </c>
      <c r="B6" s="1">
        <v>10225.75</v>
      </c>
      <c r="C6" s="1">
        <v>0</v>
      </c>
      <c r="D6" s="2">
        <v>1143593</v>
      </c>
      <c r="E6" s="3" t="s">
        <v>42</v>
      </c>
      <c r="F6" s="4" t="s">
        <v>36</v>
      </c>
      <c r="G6" s="4">
        <v>201</v>
      </c>
      <c r="H6" s="4" t="s">
        <v>37</v>
      </c>
      <c r="I6" s="5">
        <v>46079</v>
      </c>
      <c r="J6" s="5">
        <v>46082</v>
      </c>
      <c r="K6" s="1">
        <v>91.97</v>
      </c>
      <c r="L6" s="6">
        <v>2.3385E-2</v>
      </c>
      <c r="M6" s="1">
        <v>10225.75</v>
      </c>
      <c r="N6" s="1">
        <v>10225.75</v>
      </c>
      <c r="O6" s="4" t="s">
        <v>32</v>
      </c>
      <c r="P6" s="4">
        <v>0</v>
      </c>
      <c r="Q6" s="1">
        <v>0</v>
      </c>
      <c r="R6" s="1">
        <v>0</v>
      </c>
      <c r="S6" s="4" t="s">
        <v>33</v>
      </c>
      <c r="T6" s="4">
        <v>31</v>
      </c>
      <c r="U6" s="4">
        <v>46</v>
      </c>
      <c r="V6" s="4">
        <v>929951</v>
      </c>
      <c r="Y6" s="4" t="s">
        <v>33</v>
      </c>
      <c r="Z6" s="4">
        <v>31</v>
      </c>
      <c r="AB6" s="1">
        <v>10225.75</v>
      </c>
      <c r="AC6" s="1">
        <v>10225.75</v>
      </c>
      <c r="AD6" s="4" t="s">
        <v>43</v>
      </c>
    </row>
    <row r="7" spans="1:30" outlineLevel="2" x14ac:dyDescent="0.2">
      <c r="A7" s="1">
        <v>6670.02</v>
      </c>
      <c r="B7" s="1">
        <v>6670.02</v>
      </c>
      <c r="C7" s="1">
        <v>0</v>
      </c>
      <c r="D7" s="2">
        <v>1180355</v>
      </c>
      <c r="E7" s="3" t="s">
        <v>44</v>
      </c>
      <c r="F7" s="4" t="s">
        <v>40</v>
      </c>
      <c r="G7" s="4">
        <v>201</v>
      </c>
      <c r="H7" s="4" t="s">
        <v>37</v>
      </c>
      <c r="I7" s="5">
        <v>46076</v>
      </c>
      <c r="J7" s="5">
        <v>46082</v>
      </c>
      <c r="K7" s="1">
        <v>95.3</v>
      </c>
      <c r="L7" s="6">
        <v>1.2500000000000001E-2</v>
      </c>
      <c r="M7" s="1">
        <v>6670.02</v>
      </c>
      <c r="N7" s="1">
        <v>6670.02</v>
      </c>
      <c r="O7" s="4" t="s">
        <v>32</v>
      </c>
      <c r="P7" s="4">
        <v>0</v>
      </c>
      <c r="Q7" s="1">
        <v>0</v>
      </c>
      <c r="R7" s="1">
        <v>0</v>
      </c>
      <c r="S7" s="4" t="s">
        <v>33</v>
      </c>
      <c r="T7" s="4">
        <v>31</v>
      </c>
      <c r="U7" s="4">
        <v>46</v>
      </c>
      <c r="V7" s="4">
        <v>929951</v>
      </c>
      <c r="Y7" s="4" t="s">
        <v>33</v>
      </c>
      <c r="Z7" s="4">
        <v>31</v>
      </c>
      <c r="AB7" s="1">
        <v>6670.02</v>
      </c>
      <c r="AC7" s="1">
        <v>6670.02</v>
      </c>
      <c r="AD7" s="4" t="s">
        <v>45</v>
      </c>
    </row>
    <row r="8" spans="1:30" outlineLevel="2" x14ac:dyDescent="0.2">
      <c r="A8" s="1">
        <v>22350.2</v>
      </c>
      <c r="B8" s="1">
        <v>22350.2</v>
      </c>
      <c r="C8" s="1">
        <v>0</v>
      </c>
      <c r="D8" s="2">
        <v>1184167</v>
      </c>
      <c r="E8" s="3" t="s">
        <v>46</v>
      </c>
      <c r="F8" s="4" t="s">
        <v>36</v>
      </c>
      <c r="G8" s="4">
        <v>201</v>
      </c>
      <c r="H8" s="4" t="s">
        <v>37</v>
      </c>
      <c r="I8" s="5">
        <v>46069</v>
      </c>
      <c r="J8" s="5">
        <v>46082</v>
      </c>
      <c r="K8" s="1">
        <v>96.08</v>
      </c>
      <c r="L8" s="6">
        <v>0.1416</v>
      </c>
      <c r="M8" s="1">
        <v>22350.2</v>
      </c>
      <c r="N8" s="1">
        <v>22350.2</v>
      </c>
      <c r="O8" s="4" t="s">
        <v>32</v>
      </c>
      <c r="P8" s="4">
        <v>0</v>
      </c>
      <c r="Q8" s="1">
        <v>0</v>
      </c>
      <c r="R8" s="1">
        <v>0</v>
      </c>
      <c r="S8" s="4" t="s">
        <v>33</v>
      </c>
      <c r="T8" s="4">
        <v>31</v>
      </c>
      <c r="U8" s="4">
        <v>46</v>
      </c>
      <c r="V8" s="4">
        <v>929951</v>
      </c>
      <c r="Y8" s="4" t="s">
        <v>33</v>
      </c>
      <c r="Z8" s="4">
        <v>31</v>
      </c>
      <c r="AB8" s="1">
        <v>22350.2</v>
      </c>
      <c r="AC8" s="1">
        <v>22350.2</v>
      </c>
      <c r="AD8" s="4" t="s">
        <v>47</v>
      </c>
    </row>
    <row r="9" spans="1:30" outlineLevel="2" x14ac:dyDescent="0.2">
      <c r="A9" s="1">
        <v>81924.53</v>
      </c>
      <c r="B9" s="1">
        <v>81924.53</v>
      </c>
      <c r="C9" s="1">
        <v>0</v>
      </c>
      <c r="D9" s="2">
        <v>1188788</v>
      </c>
      <c r="E9" s="3" t="s">
        <v>48</v>
      </c>
      <c r="F9" s="4" t="s">
        <v>40</v>
      </c>
      <c r="G9" s="4">
        <v>201</v>
      </c>
      <c r="H9" s="4" t="s">
        <v>37</v>
      </c>
      <c r="I9" s="5">
        <v>46069</v>
      </c>
      <c r="J9" s="5">
        <v>46082</v>
      </c>
      <c r="K9" s="1">
        <v>99.1</v>
      </c>
      <c r="L9" s="6">
        <v>3.8699999999999998E-2</v>
      </c>
      <c r="M9" s="1">
        <v>81924.53</v>
      </c>
      <c r="N9" s="1">
        <v>81924.53</v>
      </c>
      <c r="O9" s="4" t="s">
        <v>32</v>
      </c>
      <c r="P9" s="4">
        <v>0</v>
      </c>
      <c r="Q9" s="1">
        <v>0</v>
      </c>
      <c r="R9" s="1">
        <v>0</v>
      </c>
      <c r="S9" s="4" t="s">
        <v>33</v>
      </c>
      <c r="T9" s="4">
        <v>31</v>
      </c>
      <c r="U9" s="4">
        <v>46</v>
      </c>
      <c r="V9" s="4">
        <v>929951</v>
      </c>
      <c r="Y9" s="4" t="s">
        <v>33</v>
      </c>
      <c r="Z9" s="4">
        <v>31</v>
      </c>
      <c r="AB9" s="1">
        <v>81924.53</v>
      </c>
      <c r="AC9" s="1">
        <v>81924.53</v>
      </c>
      <c r="AD9" s="4" t="s">
        <v>49</v>
      </c>
    </row>
    <row r="10" spans="1:30" outlineLevel="2" x14ac:dyDescent="0.2">
      <c r="A10" s="1">
        <v>1939.37</v>
      </c>
      <c r="B10" s="1">
        <v>1939.37</v>
      </c>
      <c r="C10" s="1">
        <v>0</v>
      </c>
      <c r="D10" s="2">
        <v>7200173</v>
      </c>
      <c r="E10" s="3" t="s">
        <v>50</v>
      </c>
      <c r="F10" s="4" t="s">
        <v>40</v>
      </c>
      <c r="G10" s="4">
        <v>201</v>
      </c>
      <c r="H10" s="4" t="s">
        <v>37</v>
      </c>
      <c r="I10" s="5">
        <v>46076</v>
      </c>
      <c r="J10" s="5">
        <v>46082</v>
      </c>
      <c r="K10" s="1">
        <v>99.24</v>
      </c>
      <c r="L10" s="6">
        <v>1.7250000000000001E-2</v>
      </c>
      <c r="M10" s="1">
        <v>1939.37</v>
      </c>
      <c r="N10" s="1">
        <v>1939.37</v>
      </c>
      <c r="O10" s="4" t="s">
        <v>32</v>
      </c>
      <c r="P10" s="4">
        <v>0</v>
      </c>
      <c r="Q10" s="1">
        <v>0</v>
      </c>
      <c r="R10" s="1">
        <v>0</v>
      </c>
      <c r="S10" s="4" t="s">
        <v>33</v>
      </c>
      <c r="T10" s="4">
        <v>31</v>
      </c>
      <c r="U10" s="4">
        <v>46</v>
      </c>
      <c r="V10" s="4">
        <v>929951</v>
      </c>
      <c r="Y10" s="4" t="s">
        <v>33</v>
      </c>
      <c r="Z10" s="4">
        <v>31</v>
      </c>
      <c r="AB10" s="1">
        <v>1939.37</v>
      </c>
      <c r="AC10" s="1">
        <v>1939.37</v>
      </c>
      <c r="AD10" s="4" t="s">
        <v>51</v>
      </c>
    </row>
    <row r="11" spans="1:30" outlineLevel="2" x14ac:dyDescent="0.2">
      <c r="A11" s="1">
        <v>3070.63</v>
      </c>
      <c r="B11" s="1">
        <v>3070.63</v>
      </c>
      <c r="C11" s="1">
        <v>0</v>
      </c>
      <c r="D11" s="2">
        <v>7200256</v>
      </c>
      <c r="E11" s="3" t="s">
        <v>52</v>
      </c>
      <c r="F11" s="4" t="s">
        <v>40</v>
      </c>
      <c r="G11" s="4">
        <v>201</v>
      </c>
      <c r="H11" s="4" t="s">
        <v>37</v>
      </c>
      <c r="I11" s="5">
        <v>46076</v>
      </c>
      <c r="J11" s="5">
        <v>46082</v>
      </c>
      <c r="K11" s="1">
        <v>93.14</v>
      </c>
      <c r="L11" s="6">
        <v>7.4999999999999997E-3</v>
      </c>
      <c r="M11" s="1">
        <v>3070.63</v>
      </c>
      <c r="N11" s="1">
        <v>3070.63</v>
      </c>
      <c r="O11" s="4" t="s">
        <v>32</v>
      </c>
      <c r="P11" s="4">
        <v>0</v>
      </c>
      <c r="Q11" s="1">
        <v>0</v>
      </c>
      <c r="R11" s="1">
        <v>0</v>
      </c>
      <c r="S11" s="4" t="s">
        <v>33</v>
      </c>
      <c r="T11" s="4">
        <v>31</v>
      </c>
      <c r="U11" s="4">
        <v>46</v>
      </c>
      <c r="V11" s="4">
        <v>929951</v>
      </c>
      <c r="Y11" s="4" t="s">
        <v>33</v>
      </c>
      <c r="Z11" s="4">
        <v>31</v>
      </c>
      <c r="AB11" s="1">
        <v>3070.63</v>
      </c>
      <c r="AC11" s="1">
        <v>3070.63</v>
      </c>
      <c r="AD11" s="4" t="s">
        <v>53</v>
      </c>
    </row>
    <row r="12" spans="1:30" ht="15" outlineLevel="1" x14ac:dyDescent="0.25">
      <c r="A12" s="16">
        <f>SUBTOTAL(9,A4:A11)</f>
        <v>172761.22</v>
      </c>
      <c r="H12" s="15" t="s">
        <v>63</v>
      </c>
    </row>
    <row r="13" spans="1:30" outlineLevel="2" x14ac:dyDescent="0.2">
      <c r="A13" s="1">
        <v>93735.19</v>
      </c>
      <c r="B13" s="1">
        <v>93735.19</v>
      </c>
      <c r="C13" s="1">
        <v>0</v>
      </c>
      <c r="D13" s="2">
        <v>1141332</v>
      </c>
      <c r="E13" s="3" t="s">
        <v>35</v>
      </c>
      <c r="F13" s="4" t="s">
        <v>36</v>
      </c>
      <c r="G13" s="4">
        <v>204</v>
      </c>
      <c r="H13" s="4" t="s">
        <v>54</v>
      </c>
      <c r="I13" s="5">
        <v>46076</v>
      </c>
      <c r="J13" s="5">
        <v>46082</v>
      </c>
      <c r="K13" s="1">
        <v>87.02</v>
      </c>
      <c r="L13" s="6">
        <v>0.26880399999999999</v>
      </c>
      <c r="M13" s="1">
        <v>93735.19</v>
      </c>
      <c r="N13" s="1">
        <v>93735.19</v>
      </c>
      <c r="O13" s="4" t="s">
        <v>32</v>
      </c>
      <c r="P13" s="4">
        <v>0</v>
      </c>
      <c r="Q13" s="1">
        <v>-106016.49</v>
      </c>
      <c r="R13" s="1">
        <v>-106016.49</v>
      </c>
      <c r="S13" s="4" t="s">
        <v>33</v>
      </c>
      <c r="T13" s="4">
        <v>31</v>
      </c>
      <c r="U13" s="4">
        <v>46</v>
      </c>
      <c r="V13" s="4">
        <v>929951</v>
      </c>
      <c r="Y13" s="4" t="s">
        <v>33</v>
      </c>
      <c r="Z13" s="4">
        <v>31</v>
      </c>
      <c r="AB13" s="1">
        <v>93735.19</v>
      </c>
      <c r="AC13" s="1">
        <v>93735.19</v>
      </c>
      <c r="AD13" s="4" t="s">
        <v>55</v>
      </c>
    </row>
    <row r="14" spans="1:30" outlineLevel="2" x14ac:dyDescent="0.2">
      <c r="A14" s="1">
        <v>437263.22</v>
      </c>
      <c r="B14" s="1">
        <v>437263.22</v>
      </c>
      <c r="C14" s="1">
        <v>0</v>
      </c>
      <c r="D14" s="2">
        <v>1143593</v>
      </c>
      <c r="E14" s="3" t="s">
        <v>42</v>
      </c>
      <c r="F14" s="4" t="s">
        <v>36</v>
      </c>
      <c r="G14" s="4">
        <v>204</v>
      </c>
      <c r="H14" s="4" t="s">
        <v>54</v>
      </c>
      <c r="I14" s="5">
        <v>46079</v>
      </c>
      <c r="J14" s="5">
        <v>46082</v>
      </c>
      <c r="K14" s="1">
        <v>91.97</v>
      </c>
      <c r="L14" s="6">
        <v>2</v>
      </c>
      <c r="M14" s="1">
        <v>437263.22</v>
      </c>
      <c r="N14" s="1">
        <v>437263.22</v>
      </c>
      <c r="O14" s="4" t="s">
        <v>32</v>
      </c>
      <c r="P14" s="4">
        <v>0</v>
      </c>
      <c r="Q14" s="1">
        <v>-485707.6</v>
      </c>
      <c r="R14" s="1">
        <v>-485707.6</v>
      </c>
      <c r="S14" s="4" t="s">
        <v>33</v>
      </c>
      <c r="T14" s="4">
        <v>31</v>
      </c>
      <c r="U14" s="4">
        <v>46</v>
      </c>
      <c r="V14" s="4">
        <v>929951</v>
      </c>
      <c r="Y14" s="4" t="s">
        <v>33</v>
      </c>
      <c r="Z14" s="4">
        <v>31</v>
      </c>
      <c r="AB14" s="1">
        <v>437263.22</v>
      </c>
      <c r="AC14" s="1">
        <v>437263.22</v>
      </c>
      <c r="AD14" s="4" t="s">
        <v>56</v>
      </c>
    </row>
    <row r="15" spans="1:30" outlineLevel="2" x14ac:dyDescent="0.2">
      <c r="A15" s="1">
        <v>54728.37</v>
      </c>
      <c r="B15" s="1">
        <v>54728.37</v>
      </c>
      <c r="C15" s="1">
        <v>0</v>
      </c>
      <c r="D15" s="2">
        <v>1180355</v>
      </c>
      <c r="E15" s="3" t="s">
        <v>44</v>
      </c>
      <c r="F15" s="4" t="s">
        <v>40</v>
      </c>
      <c r="G15" s="4">
        <v>204</v>
      </c>
      <c r="H15" s="4" t="s">
        <v>54</v>
      </c>
      <c r="I15" s="5">
        <v>46076</v>
      </c>
      <c r="J15" s="5">
        <v>46082</v>
      </c>
      <c r="K15" s="1">
        <v>95.3</v>
      </c>
      <c r="L15" s="6">
        <v>0.102564</v>
      </c>
      <c r="M15" s="1">
        <v>54728.37</v>
      </c>
      <c r="N15" s="1">
        <v>54728.37</v>
      </c>
      <c r="O15" s="4" t="s">
        <v>32</v>
      </c>
      <c r="P15" s="4">
        <v>0</v>
      </c>
      <c r="Q15" s="1">
        <v>-54728.37</v>
      </c>
      <c r="R15" s="1">
        <v>-54728.37</v>
      </c>
      <c r="S15" s="4" t="s">
        <v>33</v>
      </c>
      <c r="T15" s="4">
        <v>31</v>
      </c>
      <c r="U15" s="4">
        <v>46</v>
      </c>
      <c r="V15" s="4">
        <v>929951</v>
      </c>
      <c r="Y15" s="4" t="s">
        <v>33</v>
      </c>
      <c r="Z15" s="4">
        <v>31</v>
      </c>
      <c r="AB15" s="1">
        <v>54728.37</v>
      </c>
      <c r="AC15" s="1">
        <v>54728.37</v>
      </c>
      <c r="AD15" s="4" t="s">
        <v>57</v>
      </c>
    </row>
    <row r="16" spans="1:30" ht="15" outlineLevel="1" x14ac:dyDescent="0.25">
      <c r="A16" s="16">
        <f>SUBTOTAL(9,A13:A15)</f>
        <v>585726.77999999991</v>
      </c>
      <c r="H16" s="15" t="s">
        <v>64</v>
      </c>
    </row>
    <row r="17" spans="1:30" outlineLevel="2" x14ac:dyDescent="0.2">
      <c r="A17" s="1">
        <v>2203.38076</v>
      </c>
      <c r="B17" s="1">
        <v>701.2</v>
      </c>
      <c r="C17" s="1">
        <v>0</v>
      </c>
      <c r="D17" s="2">
        <v>1082965</v>
      </c>
      <c r="E17" s="3" t="s">
        <v>58</v>
      </c>
      <c r="F17" s="4" t="s">
        <v>40</v>
      </c>
      <c r="G17" s="4">
        <v>202</v>
      </c>
      <c r="H17" s="4" t="s">
        <v>59</v>
      </c>
      <c r="I17" s="5">
        <v>46073</v>
      </c>
      <c r="J17" s="5">
        <v>46087</v>
      </c>
      <c r="K17" s="1">
        <v>2221</v>
      </c>
      <c r="L17" s="6">
        <v>0.2</v>
      </c>
      <c r="M17" s="1">
        <v>2203.38076</v>
      </c>
      <c r="N17" s="1">
        <v>701.2</v>
      </c>
      <c r="O17" s="4" t="s">
        <v>60</v>
      </c>
      <c r="P17" s="4">
        <v>1</v>
      </c>
      <c r="Q17" s="1">
        <v>0</v>
      </c>
      <c r="R17" s="1">
        <v>0</v>
      </c>
      <c r="S17" s="4" t="s">
        <v>33</v>
      </c>
      <c r="T17" s="4">
        <v>31</v>
      </c>
      <c r="U17" s="4">
        <v>46</v>
      </c>
      <c r="V17" s="4">
        <v>929951</v>
      </c>
      <c r="Y17" s="4" t="s">
        <v>33</v>
      </c>
      <c r="Z17" s="4">
        <v>31</v>
      </c>
      <c r="AB17" s="1">
        <v>0</v>
      </c>
      <c r="AC17" s="1">
        <v>0</v>
      </c>
      <c r="AD17" s="4" t="s">
        <v>61</v>
      </c>
    </row>
    <row r="18" spans="1:30" ht="15" outlineLevel="1" x14ac:dyDescent="0.25">
      <c r="A18" s="16">
        <f>SUBTOTAL(9,A17:A17)</f>
        <v>2203.38076</v>
      </c>
      <c r="H18" s="15" t="s">
        <v>65</v>
      </c>
    </row>
    <row r="19" spans="1:30" ht="15" x14ac:dyDescent="0.25">
      <c r="A19" s="1">
        <f>SUBTOTAL(9,A2:A17)</f>
        <v>760685.83075999992</v>
      </c>
      <c r="H19" s="15" t="s">
        <v>66</v>
      </c>
    </row>
    <row r="23" spans="1:30" x14ac:dyDescent="0.2">
      <c r="A23" s="21" t="s">
        <v>0</v>
      </c>
      <c r="B23" s="21" t="s">
        <v>1</v>
      </c>
      <c r="C23" s="21" t="s">
        <v>2</v>
      </c>
      <c r="D23" s="22" t="s">
        <v>14</v>
      </c>
      <c r="E23" s="22" t="s">
        <v>67</v>
      </c>
      <c r="F23" s="23" t="s">
        <v>68</v>
      </c>
      <c r="G23" s="23" t="s">
        <v>69</v>
      </c>
      <c r="H23" s="21" t="s">
        <v>12</v>
      </c>
      <c r="I23" s="21" t="s">
        <v>13</v>
      </c>
      <c r="J23" s="22" t="s">
        <v>24</v>
      </c>
      <c r="K23" s="22" t="s">
        <v>18</v>
      </c>
      <c r="L23" s="22" t="s">
        <v>70</v>
      </c>
      <c r="M23" s="21" t="s">
        <v>27</v>
      </c>
      <c r="N23" s="21" t="s">
        <v>28</v>
      </c>
      <c r="O23" s="22" t="s">
        <v>29</v>
      </c>
      <c r="P23" s="24" t="s">
        <v>71</v>
      </c>
      <c r="Q23" s="24" t="s">
        <v>15</v>
      </c>
      <c r="R23" s="24" t="s">
        <v>25</v>
      </c>
      <c r="S23" s="24" t="s">
        <v>72</v>
      </c>
    </row>
    <row r="24" spans="1:30" x14ac:dyDescent="0.2">
      <c r="A24" s="18">
        <v>6037.37</v>
      </c>
      <c r="B24" s="18">
        <v>6037.37</v>
      </c>
      <c r="C24" s="18">
        <v>0</v>
      </c>
      <c r="D24" s="19" t="s">
        <v>32</v>
      </c>
      <c r="E24" s="19" t="s">
        <v>73</v>
      </c>
      <c r="F24" s="20">
        <v>45736</v>
      </c>
      <c r="G24" s="20">
        <v>45736</v>
      </c>
      <c r="H24" s="18">
        <v>6037.37</v>
      </c>
      <c r="I24" s="18">
        <v>6037.37</v>
      </c>
      <c r="J24" s="19" t="s">
        <v>33</v>
      </c>
      <c r="K24" s="17"/>
      <c r="L24" s="19" t="s">
        <v>74</v>
      </c>
      <c r="M24" s="18">
        <v>6037.37</v>
      </c>
      <c r="N24" s="18">
        <v>6037.37</v>
      </c>
      <c r="O24" s="19" t="s">
        <v>75</v>
      </c>
      <c r="P24" s="19">
        <v>32550355</v>
      </c>
      <c r="Q24" s="19">
        <v>0</v>
      </c>
      <c r="R24" s="19">
        <v>31</v>
      </c>
      <c r="S24" s="19">
        <v>117</v>
      </c>
    </row>
    <row r="25" spans="1:30" x14ac:dyDescent="0.2">
      <c r="A25" s="18">
        <v>4700.43</v>
      </c>
      <c r="B25" s="18">
        <v>4700.43</v>
      </c>
      <c r="C25" s="18">
        <v>0</v>
      </c>
      <c r="D25" s="19" t="s">
        <v>32</v>
      </c>
      <c r="E25" s="19" t="s">
        <v>76</v>
      </c>
      <c r="F25" s="20">
        <v>45775.307638888888</v>
      </c>
      <c r="G25" s="20">
        <v>45775</v>
      </c>
      <c r="H25" s="18">
        <v>4700.43</v>
      </c>
      <c r="I25" s="18">
        <v>4700.43</v>
      </c>
      <c r="J25" s="19" t="s">
        <v>33</v>
      </c>
      <c r="K25" s="17"/>
      <c r="L25" s="19" t="s">
        <v>74</v>
      </c>
      <c r="M25" s="18">
        <v>4700.43</v>
      </c>
      <c r="N25" s="18">
        <v>4700.43</v>
      </c>
      <c r="O25" s="19" t="s">
        <v>77</v>
      </c>
      <c r="P25" s="19">
        <v>32550356</v>
      </c>
      <c r="Q25" s="19">
        <v>0</v>
      </c>
      <c r="R25" s="19">
        <v>31</v>
      </c>
      <c r="S25" s="19">
        <v>117</v>
      </c>
    </row>
    <row r="26" spans="1:30" x14ac:dyDescent="0.2">
      <c r="A26" s="18">
        <v>6781.23</v>
      </c>
      <c r="B26" s="18">
        <v>6781.23</v>
      </c>
      <c r="C26" s="18">
        <v>0</v>
      </c>
      <c r="D26" s="19" t="s">
        <v>32</v>
      </c>
      <c r="E26" s="19" t="s">
        <v>78</v>
      </c>
      <c r="F26" s="20">
        <v>45826</v>
      </c>
      <c r="G26" s="20">
        <v>45826</v>
      </c>
      <c r="H26" s="18">
        <v>6781.23</v>
      </c>
      <c r="I26" s="18">
        <v>6781.23</v>
      </c>
      <c r="J26" s="19" t="s">
        <v>33</v>
      </c>
      <c r="K26" s="17"/>
      <c r="L26" s="19" t="s">
        <v>74</v>
      </c>
      <c r="M26" s="18">
        <v>6781.23</v>
      </c>
      <c r="N26" s="18">
        <v>6781.23</v>
      </c>
      <c r="O26" s="19" t="s">
        <v>79</v>
      </c>
      <c r="P26" s="19">
        <v>32550357</v>
      </c>
      <c r="Q26" s="19">
        <v>0</v>
      </c>
      <c r="R26" s="19">
        <v>31</v>
      </c>
      <c r="S26" s="19">
        <v>117</v>
      </c>
    </row>
    <row r="27" spans="1:30" x14ac:dyDescent="0.2">
      <c r="A27" s="18">
        <v>7846.15</v>
      </c>
      <c r="B27" s="18">
        <v>7846.15</v>
      </c>
      <c r="C27" s="18">
        <v>0</v>
      </c>
      <c r="D27" s="19" t="s">
        <v>32</v>
      </c>
      <c r="E27" s="19" t="s">
        <v>80</v>
      </c>
      <c r="F27" s="20">
        <v>45925</v>
      </c>
      <c r="G27" s="20">
        <v>45925</v>
      </c>
      <c r="H27" s="18">
        <v>7846.15</v>
      </c>
      <c r="I27" s="18">
        <v>7846.15</v>
      </c>
      <c r="J27" s="19" t="s">
        <v>33</v>
      </c>
      <c r="K27" s="17"/>
      <c r="L27" s="19" t="s">
        <v>74</v>
      </c>
      <c r="M27" s="18">
        <v>7846.15</v>
      </c>
      <c r="N27" s="18">
        <v>7846.15</v>
      </c>
      <c r="O27" s="19" t="s">
        <v>81</v>
      </c>
      <c r="P27" s="19">
        <v>32550358</v>
      </c>
      <c r="Q27" s="19">
        <v>0</v>
      </c>
      <c r="R27" s="19">
        <v>31</v>
      </c>
      <c r="S27" s="19">
        <v>117</v>
      </c>
    </row>
    <row r="28" spans="1:30" x14ac:dyDescent="0.2">
      <c r="A28" s="18">
        <v>7462.14</v>
      </c>
      <c r="B28" s="18">
        <v>7462.14</v>
      </c>
      <c r="C28" s="18">
        <v>0</v>
      </c>
      <c r="D28" s="19" t="s">
        <v>32</v>
      </c>
      <c r="E28" s="19" t="s">
        <v>82</v>
      </c>
      <c r="F28" s="20">
        <v>46020</v>
      </c>
      <c r="G28" s="20">
        <v>46020</v>
      </c>
      <c r="H28" s="18">
        <v>7462.14</v>
      </c>
      <c r="I28" s="18">
        <v>7462.14</v>
      </c>
      <c r="J28" s="19" t="s">
        <v>33</v>
      </c>
      <c r="K28" s="17"/>
      <c r="L28" s="19" t="s">
        <v>74</v>
      </c>
      <c r="M28" s="18">
        <v>7462.14</v>
      </c>
      <c r="N28" s="18">
        <v>7462.14</v>
      </c>
      <c r="O28" s="19" t="s">
        <v>83</v>
      </c>
      <c r="P28" s="19">
        <v>32550359</v>
      </c>
      <c r="Q28" s="19">
        <v>0</v>
      </c>
      <c r="R28" s="19">
        <v>31</v>
      </c>
      <c r="S28" s="19">
        <v>117</v>
      </c>
    </row>
    <row r="29" spans="1:30" ht="15" x14ac:dyDescent="0.25">
      <c r="A29" s="16">
        <f>SUM(A24:A28)</f>
        <v>32827.32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FIBI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Fibi</dc:creator>
  <cp:lastModifiedBy>Fibi</cp:lastModifiedBy>
  <dcterms:created xsi:type="dcterms:W3CDTF">2026-03-26T10:57:47Z</dcterms:created>
  <dcterms:modified xsi:type="dcterms:W3CDTF">2026-03-26T11:17:25Z</dcterms:modified>
</cp:coreProperties>
</file>