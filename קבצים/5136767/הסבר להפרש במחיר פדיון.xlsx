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och_caspi\2026\02-2026\קרנות נאמנות\סיגמא\5136767\"/>
    </mc:Choice>
  </mc:AlternateContent>
  <bookViews>
    <workbookView xWindow="0" yWindow="0" windowWidth="12945" windowHeight="11775"/>
  </bookViews>
  <sheets>
    <sheet name="כללי" sheetId="1" r:id="rId1"/>
    <sheet name="עו&quot;ש" sheetId="2" r:id="rId2"/>
    <sheet name="ניירות ערך" sheetId="3" r:id="rId3"/>
    <sheet name="סך הכנסות לקבל" sheetId="4" r:id="rId4"/>
    <sheet name="נכסים אחרים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1" i="1" l="1"/>
  <c r="B48" i="1"/>
  <c r="B46" i="1"/>
  <c r="B44" i="1"/>
  <c r="B45" i="1"/>
  <c r="N178" i="3"/>
  <c r="B47" i="1"/>
</calcChain>
</file>

<file path=xl/sharedStrings.xml><?xml version="1.0" encoding="utf-8"?>
<sst xmlns="http://schemas.openxmlformats.org/spreadsheetml/2006/main" count="680" uniqueCount="278">
  <si>
    <t>מספר קרן: 5136767, מספר חשבון: 929951, שם קרן: עציוני גמישה</t>
  </si>
  <si>
    <t>מהדורה</t>
  </si>
  <si>
    <t>תאריך</t>
  </si>
  <si>
    <t>סך נכסים</t>
  </si>
  <si>
    <t>סך יחידות</t>
  </si>
  <si>
    <t>שער פדיון</t>
  </si>
  <si>
    <t>שערוך קודם</t>
  </si>
  <si>
    <t>סופיות</t>
  </si>
  <si>
    <t>שערוך נוכחי</t>
  </si>
  <si>
    <t>מאזן</t>
  </si>
  <si>
    <t>אחוז שינוי</t>
  </si>
  <si>
    <t>נושא</t>
  </si>
  <si>
    <t>יתרה קודם</t>
  </si>
  <si>
    <t>אחוז מנכסים קודם</t>
  </si>
  <si>
    <t>יתרה נוכחי</t>
  </si>
  <si>
    <t>אחוז מנכסים נוכחי</t>
  </si>
  <si>
    <t>שינוי נומינלי</t>
  </si>
  <si>
    <t>תרומת נושא</t>
  </si>
  <si>
    <t>שינוי באחוז</t>
  </si>
  <si>
    <t>עו"ש</t>
  </si>
  <si>
    <t>ניירות ערך</t>
  </si>
  <si>
    <t>חוזים</t>
  </si>
  <si>
    <t>אופציות לחוזים ביורו</t>
  </si>
  <si>
    <t>עסקאות FX</t>
  </si>
  <si>
    <t>עסקאות SPOT</t>
  </si>
  <si>
    <t>עסקאות Equity Swap</t>
  </si>
  <si>
    <t>עסקאות IRS</t>
  </si>
  <si>
    <t>סך הכנסות לקבל</t>
  </si>
  <si>
    <t>פח"ק</t>
  </si>
  <si>
    <t>פיקדונות</t>
  </si>
  <si>
    <t>תשלומים להיום</t>
  </si>
  <si>
    <t>חבות דמי ניהול ונאמנות</t>
  </si>
  <si>
    <t>חו"ז מס הכנסה</t>
  </si>
  <si>
    <t>עתודה למס</t>
  </si>
  <si>
    <t>נכסים אחרים</t>
  </si>
  <si>
    <t>קיזוזים</t>
  </si>
  <si>
    <t>דמי ניהול משתנים</t>
  </si>
  <si>
    <t>דמי הצלחה למחיר פדיון</t>
  </si>
  <si>
    <t>דמי הצלחה למחיר יחידה</t>
  </si>
  <si>
    <t>הפצות ופדיונות משוק הקרנות</t>
  </si>
  <si>
    <t>הוצאות מכירה</t>
  </si>
  <si>
    <t>הוצאות מכירה חריגות</t>
  </si>
  <si>
    <t>הוצאות קניה</t>
  </si>
  <si>
    <t>הוצאות קניה חריגות</t>
  </si>
  <si>
    <t>סה"כ נכסים לחישוב שער פדיון</t>
  </si>
  <si>
    <t>סה"כ נכסים לחישוב שער יחידה</t>
  </si>
  <si>
    <t>שווי נקי</t>
  </si>
  <si>
    <t>סך יחידות קרן</t>
  </si>
  <si>
    <t>מחיר פדיון</t>
  </si>
  <si>
    <t>מחיר יחידה</t>
  </si>
  <si>
    <t>סוג חשבון</t>
  </si>
  <si>
    <t>מטבע</t>
  </si>
  <si>
    <t>יתרה בשקלים קודם</t>
  </si>
  <si>
    <t>יתרה בשקלים נוכחי</t>
  </si>
  <si>
    <t>שינוי במטבע</t>
  </si>
  <si>
    <t>תרומה</t>
  </si>
  <si>
    <t>בנק</t>
  </si>
  <si>
    <t>ILS</t>
  </si>
  <si>
    <t>בינלאומי</t>
  </si>
  <si>
    <t>USD</t>
  </si>
  <si>
    <t>מספר נייר</t>
  </si>
  <si>
    <t>שם נייר</t>
  </si>
  <si>
    <t>כמות קודם</t>
  </si>
  <si>
    <t>שער קודם</t>
  </si>
  <si>
    <t>יתרה בש"ח קודם</t>
  </si>
  <si>
    <t>כמות נוכחי</t>
  </si>
  <si>
    <t>שער נוכחי</t>
  </si>
  <si>
    <t>יתרה בש"ח נוכחי</t>
  </si>
  <si>
    <t>אחוז מנכסים</t>
  </si>
  <si>
    <t>אחוז מנכסי פתיחה</t>
  </si>
  <si>
    <t>תרומת נייר</t>
  </si>
  <si>
    <t>תרומה בש"ח</t>
  </si>
  <si>
    <t>אחוז שינוי ביתרה</t>
  </si>
  <si>
    <t>אחוז שינוי בשער</t>
  </si>
  <si>
    <t>שינוי בכמות</t>
  </si>
  <si>
    <t>אחוז שינוי בכמות</t>
  </si>
  <si>
    <t>SILC</t>
  </si>
  <si>
    <t>SPY</t>
  </si>
  <si>
    <t>ELTK</t>
  </si>
  <si>
    <t>טיב טעם</t>
  </si>
  <si>
    <t>זנלכל</t>
  </si>
  <si>
    <t>מלם תים</t>
  </si>
  <si>
    <t>וואן טכנולוגיות</t>
  </si>
  <si>
    <t>נטו אחזקות</t>
  </si>
  <si>
    <t>איילון</t>
  </si>
  <si>
    <t>בזק</t>
  </si>
  <si>
    <t>ישראמקו יהש</t>
  </si>
  <si>
    <t>שיח מדיקל</t>
  </si>
  <si>
    <t>נייס</t>
  </si>
  <si>
    <t>קסטרו</t>
  </si>
  <si>
    <t>ברן</t>
  </si>
  <si>
    <t>סקופ</t>
  </si>
  <si>
    <t>פמס</t>
  </si>
  <si>
    <t>מליסרון</t>
  </si>
  <si>
    <t>מר</t>
  </si>
  <si>
    <t>טלסיס</t>
  </si>
  <si>
    <t>חמת</t>
  </si>
  <si>
    <t>רציו יהש</t>
  </si>
  <si>
    <t>קשרי תעופה</t>
  </si>
  <si>
    <t>נתנאל גרופ</t>
  </si>
  <si>
    <t>סיאי</t>
  </si>
  <si>
    <t>מטריקס</t>
  </si>
  <si>
    <t>ניו-מד אנרג יהש</t>
  </si>
  <si>
    <t>כפרית</t>
  </si>
  <si>
    <t>לאומי</t>
  </si>
  <si>
    <t>עלבד</t>
  </si>
  <si>
    <t>טבע</t>
  </si>
  <si>
    <t>פלרם</t>
  </si>
  <si>
    <t>פועלים</t>
  </si>
  <si>
    <t>אזורים</t>
  </si>
  <si>
    <t>פיבי</t>
  </si>
  <si>
    <t>הפניקס</t>
  </si>
  <si>
    <t>כהן פיתוח</t>
  </si>
  <si>
    <t>חג'ג'</t>
  </si>
  <si>
    <t>דלק רכב</t>
  </si>
  <si>
    <t>רימוני</t>
  </si>
  <si>
    <t>בית שמש</t>
  </si>
  <si>
    <t>פלסאון תעשיות</t>
  </si>
  <si>
    <t>אודיוקודס</t>
  </si>
  <si>
    <t>טופ גרופ</t>
  </si>
  <si>
    <t>יוניטרוניקס</t>
  </si>
  <si>
    <t>קווליטאו</t>
  </si>
  <si>
    <t>חילן</t>
  </si>
  <si>
    <t>סינאל</t>
  </si>
  <si>
    <t>ספאנטק</t>
  </si>
  <si>
    <t>ארד</t>
  </si>
  <si>
    <t>פיסיבי טכנ</t>
  </si>
  <si>
    <t>אופל בלאנס</t>
  </si>
  <si>
    <t>אטראו שוקי הון</t>
  </si>
  <si>
    <t>גולף</t>
  </si>
  <si>
    <t>ביג</t>
  </si>
  <si>
    <t>רבוע נדלן</t>
  </si>
  <si>
    <t>סלקום</t>
  </si>
  <si>
    <t>פרשקובסקי</t>
  </si>
  <si>
    <t>אדמה אגח ב</t>
  </si>
  <si>
    <t>ויקטורי</t>
  </si>
  <si>
    <t>איידיאיי ביטוח</t>
  </si>
  <si>
    <t>אינרום</t>
  </si>
  <si>
    <t>אלדן תחבורה</t>
  </si>
  <si>
    <t>שגריר</t>
  </si>
  <si>
    <t>ספנסר אגח ב</t>
  </si>
  <si>
    <t>אשטרום קב אגח ג</t>
  </si>
  <si>
    <t>תמר פטרו אגח א</t>
  </si>
  <si>
    <t>תמר פטרוליום</t>
  </si>
  <si>
    <t>פתאל אירו אגח ג</t>
  </si>
  <si>
    <t>סלקום אגח יב</t>
  </si>
  <si>
    <t>כרמל קורפ</t>
  </si>
  <si>
    <t>ג'י וואן</t>
  </si>
  <si>
    <t>פרטנר אגח ז</t>
  </si>
  <si>
    <t>ישראכרט</t>
  </si>
  <si>
    <t>שירותי בנק אוטו</t>
  </si>
  <si>
    <t>מקורות אגח11</t>
  </si>
  <si>
    <t>נמקו אגח ב</t>
  </si>
  <si>
    <t>יוניברסל אגח ג</t>
  </si>
  <si>
    <t>יוחננוף</t>
  </si>
  <si>
    <t>מדיפאואר אגח ב</t>
  </si>
  <si>
    <t>מיטב השק אגח ד</t>
  </si>
  <si>
    <t>אלדן תחבו אגח ו</t>
  </si>
  <si>
    <t>אנרג'יקס אגח א</t>
  </si>
  <si>
    <t>אלה פקדון אגח ד</t>
  </si>
  <si>
    <t>דוראל אנרגיה</t>
  </si>
  <si>
    <t>מימון ישיר</t>
  </si>
  <si>
    <t>מגדלי תיכוןאגחה</t>
  </si>
  <si>
    <t>מניף</t>
  </si>
  <si>
    <t>מולטי ריטייל</t>
  </si>
  <si>
    <t>סולאיר</t>
  </si>
  <si>
    <t>ווישור גלובלטק</t>
  </si>
  <si>
    <t>רבוע נדלן אגח ט</t>
  </si>
  <si>
    <t>פרימוטק</t>
  </si>
  <si>
    <t>ליברה</t>
  </si>
  <si>
    <t>מניבים ריט אגחג</t>
  </si>
  <si>
    <t>רציו מימון אגחד</t>
  </si>
  <si>
    <t>אלביט מע 'אגח ב</t>
  </si>
  <si>
    <t>אלביט מע 'אגח ג</t>
  </si>
  <si>
    <t>אלביט מע 'אגח ד</t>
  </si>
  <si>
    <t>ספידווליו</t>
  </si>
  <si>
    <t>טרמינל איקס</t>
  </si>
  <si>
    <t>דוראל אגח א</t>
  </si>
  <si>
    <t>נופר אנרג אגח א</t>
  </si>
  <si>
    <t>או.פי.סי אגח ג</t>
  </si>
  <si>
    <t>מצלאוי-ס אג ז</t>
  </si>
  <si>
    <t>איידיאייהנ הת ו</t>
  </si>
  <si>
    <t>רני צים אגח ג</t>
  </si>
  <si>
    <t>נקסטקום אגח ג</t>
  </si>
  <si>
    <t>יו.אמ.איץ 'אגחא</t>
  </si>
  <si>
    <t>אמ.די.ג'י אגח ד</t>
  </si>
  <si>
    <t>דליה אגח א</t>
  </si>
  <si>
    <t>מניף אגח א</t>
  </si>
  <si>
    <t>פאוורג'ן אגח ב</t>
  </si>
  <si>
    <t>ישראייר גרופ</t>
  </si>
  <si>
    <t>מכלול אגח א</t>
  </si>
  <si>
    <t>יוחננוף אגח א</t>
  </si>
  <si>
    <t>רותם שני אגח ב</t>
  </si>
  <si>
    <t>נתנאל גרופ אגיג</t>
  </si>
  <si>
    <t>ספנסר אגח ד</t>
  </si>
  <si>
    <t>דליה אגח ב</t>
  </si>
  <si>
    <t>מניבים ריט אגחד</t>
  </si>
  <si>
    <t>איילון אגח ה</t>
  </si>
  <si>
    <t>אב-גד אגח ב</t>
  </si>
  <si>
    <t>חשמל אגח34</t>
  </si>
  <si>
    <t>סטרוברי אגח ד</t>
  </si>
  <si>
    <t>איסתא אג א</t>
  </si>
  <si>
    <t>אורון קב אגח ג</t>
  </si>
  <si>
    <t>נופר אנרג אגח ג</t>
  </si>
  <si>
    <t>אנשי העיר אגח א</t>
  </si>
  <si>
    <t>מניף אגח ב</t>
  </si>
  <si>
    <t>בזא</t>
  </si>
  <si>
    <t>מגדלי תיכוןאגחו</t>
  </si>
  <si>
    <t>בית זיקוק אגח2</t>
  </si>
  <si>
    <t>אשטרום נכ אגח14</t>
  </si>
  <si>
    <t>אלומיי אגח ו</t>
  </si>
  <si>
    <t>או.פי.סי אגח ד</t>
  </si>
  <si>
    <t>קופרליין אגח ד</t>
  </si>
  <si>
    <t>בלאקאדג 'אגח ג</t>
  </si>
  <si>
    <t>ישראל קנדה אגחח</t>
  </si>
  <si>
    <t>תדיראן גרו אגח4</t>
  </si>
  <si>
    <t>גשם למשתכן אגחא</t>
  </si>
  <si>
    <t>רותם שני אגח ג</t>
  </si>
  <si>
    <t>אב-גד אגח ג</t>
  </si>
  <si>
    <t>לייטסטון אגח ה</t>
  </si>
  <si>
    <t>מכלול אגח ב</t>
  </si>
  <si>
    <t>מצלאוי אגח ח</t>
  </si>
  <si>
    <t>בלאקאדג 'אגח ד</t>
  </si>
  <si>
    <t>ישפרו אגח ב</t>
  </si>
  <si>
    <t>מניף אגח ג</t>
  </si>
  <si>
    <t>דלק קב אגח מ</t>
  </si>
  <si>
    <t>מגדלי תיכוןאגחז</t>
  </si>
  <si>
    <t>אלמוגים אגח יב</t>
  </si>
  <si>
    <t>ישפרו אגח ג</t>
  </si>
  <si>
    <t>יצוא אגח ב</t>
  </si>
  <si>
    <t>אב-גד אגח ד</t>
  </si>
  <si>
    <t>לודן-טק</t>
  </si>
  <si>
    <t>גשם למשתכן אגחב</t>
  </si>
  <si>
    <t>יעז יזמות אגח א</t>
  </si>
  <si>
    <t>יוזמות אגח ב</t>
  </si>
  <si>
    <t>בזן</t>
  </si>
  <si>
    <t>בזן אגח י</t>
  </si>
  <si>
    <t>בוני תיכון אגחכ</t>
  </si>
  <si>
    <t>חשמל אגח31</t>
  </si>
  <si>
    <t>דלתא גליל אגח ו</t>
  </si>
  <si>
    <t>אנלייט אנר אגחו</t>
  </si>
  <si>
    <t>אנלייט אנ אגח ד</t>
  </si>
  <si>
    <t>הפניקס אגח4</t>
  </si>
  <si>
    <t>גבאי מניבאגח יב</t>
  </si>
  <si>
    <t>גבאי מניבאגח יג</t>
  </si>
  <si>
    <t>ITRN</t>
  </si>
  <si>
    <t>CSTE</t>
  </si>
  <si>
    <t>INMD</t>
  </si>
  <si>
    <t>ZIM</t>
  </si>
  <si>
    <t>MNDY</t>
  </si>
  <si>
    <t>TYGO</t>
  </si>
  <si>
    <t>הכנסות לקבל</t>
  </si>
  <si>
    <t>חבות דמי ניהול ונאמנות לשלם</t>
  </si>
  <si>
    <t>דמי ניהול ונאמנות לשלם ליום 27-28.02.26</t>
  </si>
  <si>
    <t>סה"כ</t>
  </si>
  <si>
    <t>הפרשי שער</t>
  </si>
  <si>
    <t>מספר חשבון</t>
  </si>
  <si>
    <t>שם חשבון קצר</t>
  </si>
  <si>
    <t>קוד סוג חשבון</t>
  </si>
  <si>
    <t>תאריך נכונות</t>
  </si>
  <si>
    <t>תאריך ערך</t>
  </si>
  <si>
    <t>קוד מטבע</t>
  </si>
  <si>
    <t>שם חשבון התמורה</t>
  </si>
  <si>
    <t>מס חשבון תמורה</t>
  </si>
  <si>
    <t>סוג פעולה</t>
  </si>
  <si>
    <t>קוד סוג פעולה</t>
  </si>
  <si>
    <t>אסמכתא פעולה</t>
  </si>
  <si>
    <t>אסמכתא</t>
  </si>
  <si>
    <t>תאור תנועה</t>
  </si>
  <si>
    <t>סכום במטבע</t>
  </si>
  <si>
    <t>גמישה</t>
  </si>
  <si>
    <t>שקל חדש</t>
  </si>
  <si>
    <t>עובר ושב</t>
  </si>
  <si>
    <t>%%%% 00/00 רבית</t>
  </si>
  <si>
    <t>ר.זכ.02/28 0130</t>
  </si>
  <si>
    <t>ר.זכ.01/31 0130</t>
  </si>
  <si>
    <t xml:space="preserve">הפרש בריבית זכות שהתקבלה ליום 28.02.26+הפרשי שער </t>
  </si>
  <si>
    <t>סה"כ אחוז שינוי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</si>
</sst>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/mm\/yyyy"/>
    <numFmt numFmtId="165" formatCode="#,##0.00%"/>
    <numFmt numFmtId="166" formatCode="#,##0.000%"/>
    <numFmt numFmtId="167" formatCode="000000"/>
    <numFmt numFmtId="173" formatCode="0.000"/>
  </numFmts>
  <fonts count="6" x14ac:knownFonts="1">
    <font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FFFFFF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horizontal="right"/>
    </xf>
  </cellStyleXfs>
  <cellXfs count="29">
    <xf numFmtId="0" fontId="0" fillId="0" borderId="0" xfId="0">
      <alignment horizontal="right"/>
    </xf>
    <xf numFmtId="0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4" fontId="2" fillId="3" borderId="0" xfId="0" applyNumberFormat="1" applyFont="1" applyFill="1" applyAlignment="1">
      <alignment horizontal="right"/>
    </xf>
    <xf numFmtId="0" fontId="0" fillId="0" borderId="1" xfId="0" applyNumberFormat="1" applyFill="1" applyBorder="1">
      <alignment horizontal="right"/>
    </xf>
    <xf numFmtId="164" fontId="0" fillId="0" borderId="1" xfId="0" applyNumberFormat="1" applyFill="1" applyBorder="1">
      <alignment horizontal="right"/>
    </xf>
    <xf numFmtId="4" fontId="0" fillId="0" borderId="1" xfId="0" applyNumberFormat="1" applyFill="1" applyBorder="1">
      <alignment horizontal="right"/>
    </xf>
    <xf numFmtId="0" fontId="2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165" fontId="0" fillId="0" borderId="1" xfId="0" applyNumberFormat="1" applyFill="1" applyBorder="1">
      <alignment horizontal="right"/>
    </xf>
    <xf numFmtId="165" fontId="2" fillId="3" borderId="0" xfId="0" applyNumberFormat="1" applyFont="1" applyFill="1" applyAlignment="1">
      <alignment horizontal="right"/>
    </xf>
    <xf numFmtId="166" fontId="2" fillId="3" borderId="0" xfId="0" applyNumberFormat="1" applyFont="1" applyFill="1" applyAlignment="1">
      <alignment horizontal="right"/>
    </xf>
    <xf numFmtId="166" fontId="0" fillId="0" borderId="1" xfId="0" applyNumberFormat="1" applyFill="1" applyBorder="1">
      <alignment horizontal="right"/>
    </xf>
    <xf numFmtId="49" fontId="2" fillId="3" borderId="0" xfId="0" applyNumberFormat="1" applyFont="1" applyFill="1" applyAlignment="1">
      <alignment horizontal="right"/>
    </xf>
    <xf numFmtId="49" fontId="0" fillId="0" borderId="1" xfId="0" applyNumberFormat="1" applyFill="1" applyBorder="1">
      <alignment horizontal="right"/>
    </xf>
    <xf numFmtId="0" fontId="1" fillId="2" borderId="0" xfId="0" applyFont="1" applyFill="1" applyAlignment="1">
      <alignment horizontal="center"/>
    </xf>
    <xf numFmtId="4" fontId="0" fillId="0" borderId="0" xfId="0" applyNumberFormat="1">
      <alignment horizontal="right"/>
    </xf>
    <xf numFmtId="0" fontId="3" fillId="4" borderId="3" xfId="0" applyFont="1" applyFill="1" applyBorder="1">
      <alignment horizontal="right"/>
    </xf>
    <xf numFmtId="4" fontId="3" fillId="4" borderId="3" xfId="0" applyNumberFormat="1" applyFont="1" applyFill="1" applyBorder="1">
      <alignment horizontal="right"/>
    </xf>
    <xf numFmtId="49" fontId="4" fillId="6" borderId="2" xfId="0" applyNumberFormat="1" applyFont="1" applyFill="1" applyBorder="1" applyAlignment="1">
      <alignment horizontal="left" vertical="center"/>
    </xf>
    <xf numFmtId="167" fontId="5" fillId="5" borderId="2" xfId="0" applyNumberFormat="1" applyFont="1" applyFill="1" applyBorder="1" applyAlignment="1">
      <alignment horizontal="right" vertical="center"/>
    </xf>
    <xf numFmtId="49" fontId="5" fillId="5" borderId="2" xfId="0" applyNumberFormat="1" applyFont="1" applyFill="1" applyBorder="1" applyAlignment="1">
      <alignment horizontal="left" vertical="center"/>
    </xf>
    <xf numFmtId="1" fontId="5" fillId="5" borderId="2" xfId="0" applyNumberFormat="1" applyFont="1" applyFill="1" applyBorder="1" applyAlignment="1">
      <alignment horizontal="right" vertical="center"/>
    </xf>
    <xf numFmtId="14" fontId="5" fillId="5" borderId="2" xfId="0" applyNumberFormat="1" applyFont="1" applyFill="1" applyBorder="1" applyAlignment="1">
      <alignment horizontal="left" vertical="center"/>
    </xf>
    <xf numFmtId="1" fontId="5" fillId="5" borderId="2" xfId="0" applyNumberFormat="1" applyFont="1" applyFill="1" applyBorder="1" applyAlignment="1">
      <alignment horizontal="left" vertical="center"/>
    </xf>
    <xf numFmtId="4" fontId="5" fillId="0" borderId="2" xfId="0" applyNumberFormat="1" applyFont="1" applyFill="1" applyBorder="1" applyAlignment="1">
      <alignment horizontal="left" vertical="center"/>
    </xf>
    <xf numFmtId="4" fontId="3" fillId="0" borderId="4" xfId="0" applyNumberFormat="1" applyFont="1" applyBorder="1">
      <alignment horizontal="right"/>
    </xf>
    <xf numFmtId="166" fontId="3" fillId="4" borderId="1" xfId="0" applyNumberFormat="1" applyFont="1" applyFill="1" applyBorder="1">
      <alignment horizontal="right"/>
    </xf>
    <xf numFmtId="173" fontId="3" fillId="4" borderId="3" xfId="0" applyNumberFormat="1" applyFont="1" applyFill="1" applyBorder="1">
      <alignment horizontal="righ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2"/>
  <sheetViews>
    <sheetView rightToLeft="1" tabSelected="1" topLeftCell="A18" workbookViewId="0">
      <selection activeCell="B55" sqref="B55"/>
    </sheetView>
  </sheetViews>
  <sheetFormatPr defaultRowHeight="14.25" x14ac:dyDescent="0.2"/>
  <cols>
    <col min="1" max="1" width="23.375" bestFit="1" customWidth="1"/>
    <col min="2" max="2" width="13.5" bestFit="1" customWidth="1"/>
    <col min="3" max="3" width="14.75" bestFit="1" customWidth="1"/>
    <col min="4" max="4" width="13.5" bestFit="1" customWidth="1"/>
    <col min="5" max="5" width="14.75" bestFit="1" customWidth="1"/>
    <col min="6" max="6" width="10.125" bestFit="1" customWidth="1"/>
    <col min="7" max="7" width="10.375" bestFit="1" customWidth="1"/>
    <col min="8" max="8" width="9.75" bestFit="1" customWidth="1"/>
  </cols>
  <sheetData>
    <row r="2" spans="1:8" ht="15" x14ac:dyDescent="0.25">
      <c r="A2" s="15" t="s">
        <v>0</v>
      </c>
      <c r="B2" s="15"/>
      <c r="C2" s="15"/>
      <c r="D2" s="15"/>
      <c r="E2" s="15"/>
      <c r="F2" s="15"/>
      <c r="G2" s="15"/>
      <c r="H2" s="15"/>
    </row>
    <row r="4" spans="1:8" ht="15" x14ac:dyDescent="0.25">
      <c r="A4" s="7"/>
      <c r="B4" s="1" t="s">
        <v>1</v>
      </c>
      <c r="C4" s="2" t="s">
        <v>2</v>
      </c>
      <c r="D4" s="3" t="s">
        <v>3</v>
      </c>
      <c r="E4" s="3" t="s">
        <v>4</v>
      </c>
      <c r="F4" s="3" t="s">
        <v>5</v>
      </c>
    </row>
    <row r="5" spans="1:8" ht="15" x14ac:dyDescent="0.25">
      <c r="A5" s="7" t="s">
        <v>6</v>
      </c>
      <c r="B5" s="4" t="s">
        <v>7</v>
      </c>
      <c r="C5" s="5">
        <v>46079</v>
      </c>
      <c r="D5" s="6">
        <v>123929112.54000001</v>
      </c>
      <c r="E5" s="6">
        <v>53894983</v>
      </c>
      <c r="F5" s="6">
        <v>229.94554500000001</v>
      </c>
    </row>
    <row r="6" spans="1:8" ht="15" x14ac:dyDescent="0.25">
      <c r="A6" s="7" t="s">
        <v>8</v>
      </c>
      <c r="B6" s="4" t="s">
        <v>9</v>
      </c>
      <c r="C6" s="5">
        <v>46081</v>
      </c>
      <c r="D6" s="6">
        <v>124530606</v>
      </c>
      <c r="E6" s="6">
        <v>53894983</v>
      </c>
      <c r="F6" s="6">
        <v>231.06159299999999</v>
      </c>
    </row>
    <row r="7" spans="1:8" ht="15" x14ac:dyDescent="0.25">
      <c r="A7" s="8" t="s">
        <v>10</v>
      </c>
      <c r="B7" s="9"/>
      <c r="C7" s="9"/>
      <c r="D7" s="9"/>
      <c r="E7" s="9"/>
      <c r="F7" s="9">
        <v>4.8271363339856396E-3</v>
      </c>
    </row>
    <row r="9" spans="1:8" ht="15" x14ac:dyDescent="0.25">
      <c r="A9" s="1" t="s">
        <v>11</v>
      </c>
      <c r="B9" s="3" t="s">
        <v>12</v>
      </c>
      <c r="C9" s="10" t="s">
        <v>13</v>
      </c>
      <c r="D9" s="3" t="s">
        <v>14</v>
      </c>
      <c r="E9" s="10" t="s">
        <v>15</v>
      </c>
      <c r="F9" s="3" t="s">
        <v>16</v>
      </c>
      <c r="G9" s="10" t="s">
        <v>17</v>
      </c>
      <c r="H9" s="10" t="s">
        <v>18</v>
      </c>
    </row>
    <row r="10" spans="1:8" x14ac:dyDescent="0.2">
      <c r="A10" s="4" t="s">
        <v>19</v>
      </c>
      <c r="B10" s="6">
        <v>55445.178999999996</v>
      </c>
      <c r="C10" s="9">
        <v>4.4999999999999999E-4</v>
      </c>
      <c r="D10" s="6">
        <v>55958.0435</v>
      </c>
      <c r="E10" s="9">
        <v>4.4999999999999999E-4</v>
      </c>
      <c r="F10" s="6">
        <v>512.86450000000002</v>
      </c>
      <c r="G10" s="9">
        <v>0</v>
      </c>
      <c r="H10" s="9">
        <v>9.2499999999999995E-3</v>
      </c>
    </row>
    <row r="11" spans="1:8" x14ac:dyDescent="0.2">
      <c r="A11" s="4" t="s">
        <v>20</v>
      </c>
      <c r="B11" s="6">
        <v>123101157.03820001</v>
      </c>
      <c r="C11" s="9">
        <v>0.99331999999999998</v>
      </c>
      <c r="D11" s="6">
        <v>123713035.8374</v>
      </c>
      <c r="E11" s="9">
        <v>0.99343000000000004</v>
      </c>
      <c r="F11" s="6">
        <v>611878.79920000001</v>
      </c>
      <c r="G11" s="9">
        <v>0</v>
      </c>
      <c r="H11" s="9">
        <v>4.9699999999999996E-3</v>
      </c>
    </row>
    <row r="12" spans="1:8" x14ac:dyDescent="0.2">
      <c r="A12" s="4" t="s">
        <v>21</v>
      </c>
      <c r="B12" s="6">
        <v>0</v>
      </c>
      <c r="C12" s="9">
        <v>0</v>
      </c>
      <c r="D12" s="6">
        <v>0</v>
      </c>
      <c r="E12" s="9">
        <v>0</v>
      </c>
      <c r="F12" s="6">
        <v>0</v>
      </c>
      <c r="G12" s="9">
        <v>0</v>
      </c>
      <c r="H12" s="9">
        <v>0</v>
      </c>
    </row>
    <row r="13" spans="1:8" x14ac:dyDescent="0.2">
      <c r="A13" s="4" t="s">
        <v>22</v>
      </c>
      <c r="B13" s="6">
        <v>0</v>
      </c>
      <c r="C13" s="9">
        <v>0</v>
      </c>
      <c r="D13" s="6">
        <v>0</v>
      </c>
      <c r="E13" s="9">
        <v>0</v>
      </c>
      <c r="F13" s="6">
        <v>0</v>
      </c>
      <c r="G13" s="9">
        <v>0</v>
      </c>
      <c r="H13" s="9">
        <v>0</v>
      </c>
    </row>
    <row r="14" spans="1:8" x14ac:dyDescent="0.2">
      <c r="A14" s="4" t="s">
        <v>23</v>
      </c>
      <c r="B14" s="6">
        <v>0</v>
      </c>
      <c r="C14" s="9">
        <v>0</v>
      </c>
      <c r="D14" s="6">
        <v>0</v>
      </c>
      <c r="E14" s="9">
        <v>0</v>
      </c>
      <c r="F14" s="6">
        <v>0</v>
      </c>
      <c r="G14" s="9">
        <v>0</v>
      </c>
      <c r="H14" s="9">
        <v>0</v>
      </c>
    </row>
    <row r="15" spans="1:8" x14ac:dyDescent="0.2">
      <c r="A15" s="4" t="s">
        <v>24</v>
      </c>
      <c r="B15" s="6">
        <v>0</v>
      </c>
      <c r="C15" s="9">
        <v>0</v>
      </c>
      <c r="D15" s="6">
        <v>0</v>
      </c>
      <c r="E15" s="9">
        <v>0</v>
      </c>
      <c r="F15" s="6">
        <v>0</v>
      </c>
      <c r="G15" s="9">
        <v>0</v>
      </c>
      <c r="H15" s="9">
        <v>0</v>
      </c>
    </row>
    <row r="16" spans="1:8" x14ac:dyDescent="0.2">
      <c r="A16" s="4" t="s">
        <v>25</v>
      </c>
      <c r="B16" s="6">
        <v>0</v>
      </c>
      <c r="C16" s="9">
        <v>0</v>
      </c>
      <c r="D16" s="6">
        <v>0</v>
      </c>
      <c r="E16" s="9">
        <v>0</v>
      </c>
      <c r="F16" s="6">
        <v>0</v>
      </c>
      <c r="G16" s="9">
        <v>0</v>
      </c>
      <c r="H16" s="9">
        <v>0</v>
      </c>
    </row>
    <row r="17" spans="1:8" x14ac:dyDescent="0.2">
      <c r="A17" s="4" t="s">
        <v>26</v>
      </c>
      <c r="B17" s="6">
        <v>0</v>
      </c>
      <c r="C17" s="9">
        <v>0</v>
      </c>
      <c r="D17" s="6">
        <v>0</v>
      </c>
      <c r="E17" s="9">
        <v>0</v>
      </c>
      <c r="F17" s="6">
        <v>0</v>
      </c>
      <c r="G17" s="9">
        <v>0</v>
      </c>
      <c r="H17" s="9">
        <v>0</v>
      </c>
    </row>
    <row r="18" spans="1:8" x14ac:dyDescent="0.2">
      <c r="A18" s="4" t="s">
        <v>27</v>
      </c>
      <c r="B18" s="6">
        <v>761126.44869999995</v>
      </c>
      <c r="C18" s="9">
        <v>6.1399999999999996E-3</v>
      </c>
      <c r="D18" s="6">
        <v>760685.8308</v>
      </c>
      <c r="E18" s="9">
        <v>6.11E-3</v>
      </c>
      <c r="F18" s="6">
        <v>-440.61790000000002</v>
      </c>
      <c r="G18" s="9">
        <v>0</v>
      </c>
      <c r="H18" s="9">
        <v>-5.8E-4</v>
      </c>
    </row>
    <row r="19" spans="1:8" x14ac:dyDescent="0.2">
      <c r="A19" s="4" t="s">
        <v>28</v>
      </c>
      <c r="B19" s="6">
        <v>0</v>
      </c>
      <c r="C19" s="9">
        <v>0</v>
      </c>
      <c r="D19" s="6">
        <v>0</v>
      </c>
      <c r="E19" s="9">
        <v>0</v>
      </c>
      <c r="F19" s="6">
        <v>0</v>
      </c>
      <c r="G19" s="9">
        <v>0</v>
      </c>
      <c r="H19" s="9">
        <v>0</v>
      </c>
    </row>
    <row r="20" spans="1:8" x14ac:dyDescent="0.2">
      <c r="A20" s="4" t="s">
        <v>29</v>
      </c>
      <c r="B20" s="6">
        <v>0</v>
      </c>
      <c r="C20" s="9">
        <v>0</v>
      </c>
      <c r="D20" s="6">
        <v>0</v>
      </c>
      <c r="E20" s="9">
        <v>0</v>
      </c>
      <c r="F20" s="6">
        <v>0</v>
      </c>
      <c r="G20" s="9">
        <v>0</v>
      </c>
      <c r="H20" s="9">
        <v>0</v>
      </c>
    </row>
    <row r="21" spans="1:8" x14ac:dyDescent="0.2">
      <c r="A21" s="4" t="s">
        <v>30</v>
      </c>
      <c r="B21" s="6">
        <v>0</v>
      </c>
      <c r="C21" s="9">
        <v>0</v>
      </c>
      <c r="D21" s="6">
        <v>0</v>
      </c>
      <c r="E21" s="9">
        <v>0</v>
      </c>
      <c r="F21" s="6">
        <v>0</v>
      </c>
      <c r="G21" s="9">
        <v>0</v>
      </c>
      <c r="H21" s="9">
        <v>0</v>
      </c>
    </row>
    <row r="22" spans="1:8" x14ac:dyDescent="0.2">
      <c r="A22" s="4" t="s">
        <v>31</v>
      </c>
      <c r="B22" s="6">
        <v>-21443.45</v>
      </c>
      <c r="C22" s="9">
        <v>-1.7000000000000001E-4</v>
      </c>
      <c r="D22" s="6">
        <v>-21443.45</v>
      </c>
      <c r="E22" s="9">
        <v>-1.7000000000000001E-4</v>
      </c>
      <c r="F22" s="6">
        <v>0</v>
      </c>
      <c r="G22" s="9">
        <v>0</v>
      </c>
      <c r="H22" s="9">
        <v>0</v>
      </c>
    </row>
    <row r="23" spans="1:8" x14ac:dyDescent="0.2">
      <c r="A23" s="4" t="s">
        <v>32</v>
      </c>
      <c r="B23" s="6">
        <v>0</v>
      </c>
      <c r="C23" s="9">
        <v>0</v>
      </c>
      <c r="D23" s="6">
        <v>0</v>
      </c>
      <c r="E23" s="9">
        <v>0</v>
      </c>
      <c r="F23" s="6">
        <v>0</v>
      </c>
      <c r="G23" s="9">
        <v>0</v>
      </c>
      <c r="H23" s="9">
        <v>0</v>
      </c>
    </row>
    <row r="24" spans="1:8" x14ac:dyDescent="0.2">
      <c r="A24" s="4" t="s">
        <v>33</v>
      </c>
      <c r="B24" s="6">
        <v>0</v>
      </c>
      <c r="C24" s="9">
        <v>0</v>
      </c>
      <c r="D24" s="6">
        <v>0</v>
      </c>
      <c r="E24" s="9">
        <v>0</v>
      </c>
      <c r="F24" s="6">
        <v>0</v>
      </c>
      <c r="G24" s="9">
        <v>0</v>
      </c>
      <c r="H24" s="9">
        <v>0</v>
      </c>
    </row>
    <row r="25" spans="1:8" x14ac:dyDescent="0.2">
      <c r="A25" s="4" t="s">
        <v>34</v>
      </c>
      <c r="B25" s="6">
        <v>32827.32</v>
      </c>
      <c r="C25" s="9">
        <v>2.5999999999999998E-4</v>
      </c>
      <c r="D25" s="6">
        <v>22369.74</v>
      </c>
      <c r="E25" s="9">
        <v>1.8000000000000001E-4</v>
      </c>
      <c r="F25" s="6">
        <v>-10457.58</v>
      </c>
      <c r="G25" s="9">
        <v>0</v>
      </c>
      <c r="H25" s="9">
        <v>-0.31856000000000001</v>
      </c>
    </row>
    <row r="26" spans="1:8" x14ac:dyDescent="0.2">
      <c r="A26" s="4" t="s">
        <v>35</v>
      </c>
      <c r="B26" s="6">
        <v>0</v>
      </c>
      <c r="C26" s="9">
        <v>0</v>
      </c>
      <c r="D26" s="6">
        <v>0</v>
      </c>
      <c r="E26" s="9">
        <v>0</v>
      </c>
      <c r="F26" s="6">
        <v>0</v>
      </c>
      <c r="G26" s="9">
        <v>0</v>
      </c>
      <c r="H26" s="9">
        <v>0</v>
      </c>
    </row>
    <row r="27" spans="1:8" x14ac:dyDescent="0.2">
      <c r="A27" s="4" t="s">
        <v>36</v>
      </c>
      <c r="B27" s="6">
        <v>0</v>
      </c>
      <c r="C27" s="9">
        <v>0</v>
      </c>
      <c r="D27" s="6">
        <v>0</v>
      </c>
      <c r="E27" s="9">
        <v>0</v>
      </c>
      <c r="F27" s="6">
        <v>0</v>
      </c>
      <c r="G27" s="9">
        <v>0</v>
      </c>
      <c r="H27" s="9">
        <v>0</v>
      </c>
    </row>
    <row r="28" spans="1:8" x14ac:dyDescent="0.2">
      <c r="A28" s="4" t="s">
        <v>37</v>
      </c>
      <c r="B28" s="6">
        <v>0</v>
      </c>
      <c r="C28" s="9">
        <v>0</v>
      </c>
      <c r="D28" s="6">
        <v>0</v>
      </c>
      <c r="E28" s="9">
        <v>0</v>
      </c>
      <c r="F28" s="6">
        <v>0</v>
      </c>
      <c r="G28" s="9">
        <v>0</v>
      </c>
      <c r="H28" s="9">
        <v>-1</v>
      </c>
    </row>
    <row r="29" spans="1:8" x14ac:dyDescent="0.2">
      <c r="A29" s="4" t="s">
        <v>38</v>
      </c>
      <c r="B29" s="6">
        <v>0</v>
      </c>
      <c r="C29" s="9">
        <v>0</v>
      </c>
      <c r="D29" s="6">
        <v>0</v>
      </c>
      <c r="E29" s="9">
        <v>0</v>
      </c>
      <c r="F29" s="6">
        <v>0</v>
      </c>
      <c r="G29" s="9">
        <v>0</v>
      </c>
      <c r="H29" s="9">
        <v>-1</v>
      </c>
    </row>
    <row r="30" spans="1:8" x14ac:dyDescent="0.2">
      <c r="A30" s="4" t="s">
        <v>39</v>
      </c>
      <c r="B30" s="6">
        <v>0</v>
      </c>
      <c r="C30" s="9">
        <v>0</v>
      </c>
      <c r="D30" s="6">
        <v>-1819769.64</v>
      </c>
      <c r="E30" s="9">
        <v>-1.461E-2</v>
      </c>
      <c r="F30" s="6">
        <v>0</v>
      </c>
      <c r="G30" s="9">
        <v>0</v>
      </c>
      <c r="H30" s="9">
        <v>0</v>
      </c>
    </row>
    <row r="31" spans="1:8" x14ac:dyDescent="0.2">
      <c r="A31" s="4" t="s">
        <v>40</v>
      </c>
      <c r="B31" s="6">
        <v>0</v>
      </c>
      <c r="C31" s="9">
        <v>0</v>
      </c>
      <c r="D31" s="6">
        <v>0</v>
      </c>
      <c r="E31" s="9">
        <v>0</v>
      </c>
      <c r="F31" s="6">
        <v>0</v>
      </c>
      <c r="G31" s="9">
        <v>0</v>
      </c>
      <c r="H31" s="9">
        <v>0</v>
      </c>
    </row>
    <row r="32" spans="1:8" x14ac:dyDescent="0.2">
      <c r="A32" s="4" t="s">
        <v>41</v>
      </c>
      <c r="B32" s="6">
        <v>0</v>
      </c>
      <c r="C32" s="9">
        <v>0</v>
      </c>
      <c r="D32" s="6">
        <v>0</v>
      </c>
      <c r="E32" s="9">
        <v>0</v>
      </c>
      <c r="F32" s="6">
        <v>0</v>
      </c>
      <c r="G32" s="9">
        <v>0</v>
      </c>
      <c r="H32" s="9">
        <v>0</v>
      </c>
    </row>
    <row r="33" spans="1:8" x14ac:dyDescent="0.2">
      <c r="A33" s="4" t="s">
        <v>42</v>
      </c>
      <c r="B33" s="6">
        <v>0</v>
      </c>
      <c r="C33" s="9">
        <v>0</v>
      </c>
      <c r="D33" s="6">
        <v>0</v>
      </c>
      <c r="E33" s="9">
        <v>0</v>
      </c>
      <c r="F33" s="6">
        <v>0</v>
      </c>
      <c r="G33" s="9">
        <v>0</v>
      </c>
      <c r="H33" s="9">
        <v>0</v>
      </c>
    </row>
    <row r="34" spans="1:8" x14ac:dyDescent="0.2">
      <c r="A34" s="4" t="s">
        <v>43</v>
      </c>
      <c r="B34" s="6">
        <v>0</v>
      </c>
      <c r="C34" s="9">
        <v>0</v>
      </c>
      <c r="D34" s="6">
        <v>0</v>
      </c>
      <c r="E34" s="9">
        <v>0</v>
      </c>
      <c r="F34" s="6">
        <v>0</v>
      </c>
      <c r="G34" s="9">
        <v>0</v>
      </c>
      <c r="H34" s="9">
        <v>0</v>
      </c>
    </row>
    <row r="35" spans="1:8" x14ac:dyDescent="0.2">
      <c r="A35" s="4" t="s">
        <v>44</v>
      </c>
      <c r="B35" s="6">
        <v>123929112.54000001</v>
      </c>
      <c r="C35" s="9">
        <v>1</v>
      </c>
      <c r="D35" s="6">
        <v>124530606</v>
      </c>
      <c r="E35" s="9">
        <v>1</v>
      </c>
      <c r="F35" s="6">
        <v>601493.46</v>
      </c>
      <c r="G35" s="9">
        <v>0</v>
      </c>
      <c r="H35" s="9">
        <v>4.8500000000000001E-3</v>
      </c>
    </row>
    <row r="36" spans="1:8" x14ac:dyDescent="0.2">
      <c r="A36" s="4" t="s">
        <v>45</v>
      </c>
      <c r="B36" s="6">
        <v>123929112.54000001</v>
      </c>
      <c r="C36" s="9">
        <v>1</v>
      </c>
      <c r="D36" s="6">
        <v>124530606</v>
      </c>
      <c r="E36" s="9">
        <v>1</v>
      </c>
      <c r="F36" s="6">
        <v>601493.46</v>
      </c>
      <c r="G36" s="9">
        <v>0</v>
      </c>
      <c r="H36" s="9">
        <v>4.8500000000000001E-3</v>
      </c>
    </row>
    <row r="37" spans="1:8" x14ac:dyDescent="0.2">
      <c r="A37" s="4" t="s">
        <v>46</v>
      </c>
      <c r="B37" s="6">
        <v>123929112.54000001</v>
      </c>
      <c r="C37" s="9">
        <v>1</v>
      </c>
      <c r="D37" s="6">
        <v>124530606</v>
      </c>
      <c r="E37" s="9">
        <v>1</v>
      </c>
      <c r="F37" s="6">
        <v>601493.46</v>
      </c>
      <c r="G37" s="9">
        <v>0</v>
      </c>
      <c r="H37" s="9">
        <v>4.8500000000000001E-3</v>
      </c>
    </row>
    <row r="38" spans="1:8" x14ac:dyDescent="0.2">
      <c r="A38" s="4" t="s">
        <v>47</v>
      </c>
      <c r="B38" s="6">
        <v>53894983</v>
      </c>
      <c r="C38" s="9">
        <v>0.43489</v>
      </c>
      <c r="D38" s="6">
        <v>53894983</v>
      </c>
      <c r="E38" s="9">
        <v>0.43279000000000001</v>
      </c>
      <c r="F38" s="6">
        <v>0</v>
      </c>
      <c r="G38" s="9">
        <v>0</v>
      </c>
      <c r="H38" s="9">
        <v>0</v>
      </c>
    </row>
    <row r="39" spans="1:8" x14ac:dyDescent="0.2">
      <c r="A39" s="4" t="s">
        <v>48</v>
      </c>
      <c r="B39" s="6">
        <v>229.94550000000001</v>
      </c>
      <c r="C39" s="9">
        <v>0</v>
      </c>
      <c r="D39" s="6">
        <v>231.0616</v>
      </c>
      <c r="E39" s="9">
        <v>0</v>
      </c>
      <c r="F39" s="6">
        <v>1.1161000000000001</v>
      </c>
      <c r="G39" s="9">
        <v>0</v>
      </c>
      <c r="H39" s="9">
        <v>4.8500000000000001E-3</v>
      </c>
    </row>
    <row r="40" spans="1:8" ht="15" x14ac:dyDescent="0.25">
      <c r="A40" s="4" t="s">
        <v>49</v>
      </c>
      <c r="B40" s="6">
        <v>229.94550000000001</v>
      </c>
      <c r="C40" s="9">
        <v>0</v>
      </c>
      <c r="D40" s="6">
        <v>231.0616</v>
      </c>
      <c r="E40" s="9">
        <v>0</v>
      </c>
      <c r="F40" s="6">
        <v>1.1161000000000001</v>
      </c>
      <c r="G40" s="9">
        <v>0</v>
      </c>
      <c r="H40" s="27">
        <v>4.8500000000000001E-3</v>
      </c>
    </row>
    <row r="44" spans="1:8" x14ac:dyDescent="0.2">
      <c r="A44" t="s">
        <v>19</v>
      </c>
      <c r="B44" s="16">
        <f>'עו"ש'!I5</f>
        <v>2.8445</v>
      </c>
      <c r="C44" t="s">
        <v>255</v>
      </c>
    </row>
    <row r="45" spans="1:8" x14ac:dyDescent="0.2">
      <c r="A45" t="s">
        <v>20</v>
      </c>
      <c r="B45" s="16">
        <f>'ניירות ערך'!N178</f>
        <v>611878.7989000004</v>
      </c>
      <c r="C45" t="s">
        <v>255</v>
      </c>
    </row>
    <row r="46" spans="1:8" x14ac:dyDescent="0.2">
      <c r="A46" t="s">
        <v>251</v>
      </c>
      <c r="B46" s="16">
        <f>'סך הכנסות לקבל'!O9+'סך הכנסות לקבל'!O10+'סך הכנסות לקבל'!H2+'סך הכנסות לקבל'!H3</f>
        <v>69.402100000000033</v>
      </c>
      <c r="C46" t="s">
        <v>276</v>
      </c>
    </row>
    <row r="47" spans="1:8" x14ac:dyDescent="0.2">
      <c r="A47" t="s">
        <v>252</v>
      </c>
      <c r="B47" s="16">
        <f>F25</f>
        <v>-10457.58</v>
      </c>
      <c r="C47" t="s">
        <v>253</v>
      </c>
    </row>
    <row r="48" spans="1:8" ht="15.75" thickBot="1" x14ac:dyDescent="0.3">
      <c r="B48" s="26">
        <f>SUM(B44:B47)</f>
        <v>601493.4655000004</v>
      </c>
    </row>
    <row r="51" spans="1:2" ht="15.75" thickBot="1" x14ac:dyDescent="0.3">
      <c r="A51" s="17" t="s">
        <v>277</v>
      </c>
      <c r="B51" s="28">
        <f>B48/B35*100</f>
        <v>0.48535283854781036</v>
      </c>
    </row>
    <row r="52" spans="1:2" ht="15" thickTop="1" x14ac:dyDescent="0.2"/>
  </sheetData>
  <mergeCells count="1">
    <mergeCell ref="A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rightToLeft="1" workbookViewId="0"/>
  </sheetViews>
  <sheetFormatPr defaultRowHeight="14.25" x14ac:dyDescent="0.2"/>
  <cols>
    <col min="1" max="1" width="8.625" bestFit="1" customWidth="1"/>
    <col min="2" max="2" width="5.25" bestFit="1" customWidth="1"/>
    <col min="3" max="3" width="10.5" bestFit="1" customWidth="1"/>
    <col min="4" max="4" width="15.875" bestFit="1" customWidth="1"/>
    <col min="5" max="5" width="14.75" bestFit="1" customWidth="1"/>
    <col min="7" max="7" width="15.875" bestFit="1" customWidth="1"/>
    <col min="8" max="8" width="14.75" bestFit="1" customWidth="1"/>
    <col min="9" max="9" width="10.5" bestFit="1" customWidth="1"/>
    <col min="10" max="10" width="10.625" bestFit="1" customWidth="1"/>
    <col min="11" max="11" width="7" bestFit="1" customWidth="1"/>
    <col min="12" max="12" width="9.75" bestFit="1" customWidth="1"/>
    <col min="13" max="13" width="6.625" bestFit="1" customWidth="1"/>
  </cols>
  <sheetData>
    <row r="1" spans="1:13" ht="15" x14ac:dyDescent="0.25">
      <c r="A1" s="1" t="s">
        <v>50</v>
      </c>
      <c r="B1" s="1" t="s">
        <v>51</v>
      </c>
      <c r="C1" s="3" t="s">
        <v>12</v>
      </c>
      <c r="D1" s="3" t="s">
        <v>52</v>
      </c>
      <c r="E1" s="10" t="s">
        <v>13</v>
      </c>
      <c r="F1" s="3" t="s">
        <v>14</v>
      </c>
      <c r="G1" s="3" t="s">
        <v>53</v>
      </c>
      <c r="H1" s="10" t="s">
        <v>15</v>
      </c>
      <c r="I1" s="3" t="s">
        <v>16</v>
      </c>
      <c r="J1" s="3" t="s">
        <v>54</v>
      </c>
      <c r="K1" s="11" t="s">
        <v>55</v>
      </c>
      <c r="L1" s="10" t="s">
        <v>18</v>
      </c>
      <c r="M1" s="1" t="s">
        <v>56</v>
      </c>
    </row>
    <row r="2" spans="1:13" x14ac:dyDescent="0.2">
      <c r="A2" s="4">
        <v>105</v>
      </c>
      <c r="B2" s="4" t="s">
        <v>57</v>
      </c>
      <c r="C2" s="6">
        <v>52572.62</v>
      </c>
      <c r="D2" s="6">
        <v>52572.62</v>
      </c>
      <c r="E2" s="9">
        <v>4.2000000000000002E-4</v>
      </c>
      <c r="F2" s="6">
        <v>50700.19</v>
      </c>
      <c r="G2" s="6">
        <v>50700.19</v>
      </c>
      <c r="H2" s="9">
        <v>4.0999999999999999E-4</v>
      </c>
      <c r="I2" s="6">
        <v>-1872.43</v>
      </c>
      <c r="J2" s="6">
        <v>-1872.43</v>
      </c>
      <c r="K2" s="12">
        <v>0</v>
      </c>
      <c r="L2" s="9">
        <v>-2.0000000000000002E-5</v>
      </c>
      <c r="M2" s="4" t="s">
        <v>58</v>
      </c>
    </row>
    <row r="3" spans="1:13" x14ac:dyDescent="0.2">
      <c r="A3" s="4">
        <v>799</v>
      </c>
      <c r="B3" s="4" t="s">
        <v>57</v>
      </c>
      <c r="C3" s="6">
        <v>905016.34</v>
      </c>
      <c r="D3" s="6">
        <v>905016.34</v>
      </c>
      <c r="E3" s="9">
        <v>7.2700000000000004E-3</v>
      </c>
      <c r="F3" s="6">
        <v>0</v>
      </c>
      <c r="G3" s="6">
        <v>0</v>
      </c>
      <c r="H3" s="9">
        <v>0</v>
      </c>
      <c r="I3" s="6">
        <v>-905016.34</v>
      </c>
      <c r="J3" s="6">
        <v>-905016.34</v>
      </c>
      <c r="K3" s="12">
        <v>0</v>
      </c>
      <c r="L3" s="9">
        <v>-7.2700000000000004E-3</v>
      </c>
      <c r="M3" s="4" t="s">
        <v>58</v>
      </c>
    </row>
    <row r="4" spans="1:13" x14ac:dyDescent="0.2">
      <c r="A4" s="4">
        <v>799</v>
      </c>
      <c r="B4" s="4" t="s">
        <v>57</v>
      </c>
      <c r="C4" s="6">
        <v>-907398.79</v>
      </c>
      <c r="D4" s="6">
        <v>-907398.79</v>
      </c>
      <c r="E4" s="9">
        <v>-7.2899999999999996E-3</v>
      </c>
      <c r="F4" s="6">
        <v>0</v>
      </c>
      <c r="G4" s="6">
        <v>0</v>
      </c>
      <c r="H4" s="9">
        <v>0</v>
      </c>
      <c r="I4" s="6">
        <v>907398.79</v>
      </c>
      <c r="J4" s="6">
        <v>907398.79</v>
      </c>
      <c r="K4" s="12">
        <v>0</v>
      </c>
      <c r="L4" s="9">
        <v>7.2899999999999996E-3</v>
      </c>
      <c r="M4" s="4" t="s">
        <v>58</v>
      </c>
    </row>
    <row r="5" spans="1:13" x14ac:dyDescent="0.2">
      <c r="A5" s="4">
        <v>106</v>
      </c>
      <c r="B5" s="4" t="s">
        <v>59</v>
      </c>
      <c r="C5" s="6">
        <v>1673.25</v>
      </c>
      <c r="D5" s="6">
        <v>5255.009</v>
      </c>
      <c r="E5" s="9">
        <v>4.0000000000000003E-5</v>
      </c>
      <c r="F5" s="6">
        <v>1673.25</v>
      </c>
      <c r="G5" s="6">
        <v>5257.8535000000002</v>
      </c>
      <c r="H5" s="9">
        <v>4.0000000000000003E-5</v>
      </c>
      <c r="I5" s="6">
        <v>2.8445</v>
      </c>
      <c r="J5" s="6">
        <v>0</v>
      </c>
      <c r="K5" s="12"/>
      <c r="L5" s="9">
        <v>0</v>
      </c>
      <c r="M5" s="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9"/>
  <sheetViews>
    <sheetView rightToLeft="1" topLeftCell="A151" workbookViewId="0">
      <selection activeCell="J183" sqref="J183"/>
    </sheetView>
  </sheetViews>
  <sheetFormatPr defaultRowHeight="14.25" x14ac:dyDescent="0.2"/>
  <cols>
    <col min="1" max="1" width="8.875" bestFit="1" customWidth="1"/>
    <col min="2" max="2" width="5.25" bestFit="1" customWidth="1"/>
    <col min="3" max="3" width="14.75" bestFit="1" customWidth="1"/>
    <col min="4" max="4" width="11.375" bestFit="1" customWidth="1"/>
    <col min="5" max="5" width="8.875" bestFit="1" customWidth="1"/>
    <col min="6" max="6" width="14.25" bestFit="1" customWidth="1"/>
    <col min="7" max="7" width="11.375" bestFit="1" customWidth="1"/>
    <col min="8" max="8" width="8.875" bestFit="1" customWidth="1"/>
    <col min="9" max="9" width="14.25" bestFit="1" customWidth="1"/>
    <col min="10" max="10" width="10.375" bestFit="1" customWidth="1"/>
    <col min="11" max="11" width="15" bestFit="1" customWidth="1"/>
    <col min="12" max="12" width="9.25" bestFit="1" customWidth="1"/>
    <col min="13" max="13" width="11" bestFit="1" customWidth="1"/>
    <col min="14" max="14" width="10.5" bestFit="1" customWidth="1"/>
    <col min="15" max="15" width="14.25" bestFit="1" customWidth="1"/>
    <col min="16" max="16" width="13.875" bestFit="1" customWidth="1"/>
    <col min="17" max="17" width="10" bestFit="1" customWidth="1"/>
    <col min="18" max="18" width="14.125" bestFit="1" customWidth="1"/>
    <col min="19" max="19" width="6.625" bestFit="1" customWidth="1"/>
  </cols>
  <sheetData>
    <row r="1" spans="1:19" ht="15" x14ac:dyDescent="0.25">
      <c r="A1" s="1" t="s">
        <v>60</v>
      </c>
      <c r="B1" s="1" t="s">
        <v>51</v>
      </c>
      <c r="C1" s="1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10" t="s">
        <v>68</v>
      </c>
      <c r="K1" s="10" t="s">
        <v>69</v>
      </c>
      <c r="L1" s="10" t="s">
        <v>70</v>
      </c>
      <c r="M1" s="3" t="s">
        <v>71</v>
      </c>
      <c r="N1" s="3" t="s">
        <v>16</v>
      </c>
      <c r="O1" s="10" t="s">
        <v>72</v>
      </c>
      <c r="P1" s="10" t="s">
        <v>73</v>
      </c>
      <c r="Q1" s="3" t="s">
        <v>74</v>
      </c>
      <c r="R1" s="10" t="s">
        <v>75</v>
      </c>
      <c r="S1" s="1" t="s">
        <v>56</v>
      </c>
    </row>
    <row r="2" spans="1:19" x14ac:dyDescent="0.2">
      <c r="A2" s="4">
        <v>12690</v>
      </c>
      <c r="B2" s="4" t="s">
        <v>59</v>
      </c>
      <c r="C2" s="14" t="s">
        <v>76</v>
      </c>
      <c r="D2" s="6">
        <v>220</v>
      </c>
      <c r="E2" s="6">
        <v>19.27</v>
      </c>
      <c r="F2" s="6">
        <v>13314.26</v>
      </c>
      <c r="G2" s="6">
        <v>220</v>
      </c>
      <c r="H2" s="6">
        <v>19.7</v>
      </c>
      <c r="I2" s="6">
        <v>13618.73</v>
      </c>
      <c r="J2" s="9">
        <v>1E-4</v>
      </c>
      <c r="K2" s="9">
        <v>0</v>
      </c>
      <c r="L2" s="9">
        <v>0</v>
      </c>
      <c r="M2" s="6">
        <v>0</v>
      </c>
      <c r="N2" s="6">
        <v>304.46859999999998</v>
      </c>
      <c r="O2" s="9">
        <v>2.29E-2</v>
      </c>
      <c r="P2" s="9">
        <v>2.231E-2</v>
      </c>
      <c r="Q2" s="6">
        <v>0</v>
      </c>
      <c r="R2" s="9">
        <v>0</v>
      </c>
      <c r="S2" s="4" t="s">
        <v>58</v>
      </c>
    </row>
    <row r="3" spans="1:19" x14ac:dyDescent="0.2">
      <c r="A3" s="4">
        <v>33001</v>
      </c>
      <c r="B3" s="4" t="s">
        <v>59</v>
      </c>
      <c r="C3" s="14" t="s">
        <v>77</v>
      </c>
      <c r="D3" s="6">
        <v>1056</v>
      </c>
      <c r="E3" s="6">
        <v>689.3</v>
      </c>
      <c r="F3" s="6">
        <v>2286045.25</v>
      </c>
      <c r="G3" s="6">
        <v>1056</v>
      </c>
      <c r="H3" s="6">
        <v>685.99</v>
      </c>
      <c r="I3" s="6">
        <v>2276299.21</v>
      </c>
      <c r="J3" s="9">
        <v>1.83E-2</v>
      </c>
      <c r="K3" s="9">
        <v>0</v>
      </c>
      <c r="L3" s="9">
        <v>0</v>
      </c>
      <c r="M3" s="6">
        <v>0</v>
      </c>
      <c r="N3" s="6">
        <v>-9746.0383999999995</v>
      </c>
      <c r="O3" s="9">
        <v>-4.3E-3</v>
      </c>
      <c r="P3" s="9">
        <v>-4.7999999999999996E-3</v>
      </c>
      <c r="Q3" s="6">
        <v>0</v>
      </c>
      <c r="R3" s="9">
        <v>0</v>
      </c>
      <c r="S3" s="4" t="s">
        <v>58</v>
      </c>
    </row>
    <row r="4" spans="1:19" x14ac:dyDescent="0.2">
      <c r="A4" s="4">
        <v>51599</v>
      </c>
      <c r="B4" s="4" t="s">
        <v>59</v>
      </c>
      <c r="C4" s="14" t="s">
        <v>78</v>
      </c>
      <c r="D4" s="6">
        <v>37148</v>
      </c>
      <c r="E4" s="6">
        <v>8.7799999999999994</v>
      </c>
      <c r="F4" s="6">
        <v>1024336.34</v>
      </c>
      <c r="G4" s="6">
        <v>37148</v>
      </c>
      <c r="H4" s="6">
        <v>8.99</v>
      </c>
      <c r="I4" s="6">
        <v>1049404.1399999999</v>
      </c>
      <c r="J4" s="9">
        <v>8.3999999999999995E-3</v>
      </c>
      <c r="K4" s="9">
        <v>0</v>
      </c>
      <c r="L4" s="9">
        <v>0</v>
      </c>
      <c r="M4" s="6">
        <v>0</v>
      </c>
      <c r="N4" s="6">
        <v>25067.804700000001</v>
      </c>
      <c r="O4" s="9">
        <v>2.4500000000000001E-2</v>
      </c>
      <c r="P4" s="9">
        <v>2.392E-2</v>
      </c>
      <c r="Q4" s="6">
        <v>0</v>
      </c>
      <c r="R4" s="9">
        <v>0</v>
      </c>
      <c r="S4" s="4" t="s">
        <v>58</v>
      </c>
    </row>
    <row r="5" spans="1:19" x14ac:dyDescent="0.2">
      <c r="A5" s="4">
        <v>103010</v>
      </c>
      <c r="B5" s="4" t="s">
        <v>57</v>
      </c>
      <c r="C5" s="14" t="s">
        <v>79</v>
      </c>
      <c r="D5" s="6">
        <v>127642</v>
      </c>
      <c r="E5" s="6">
        <v>1096</v>
      </c>
      <c r="F5" s="6">
        <v>1398956.32</v>
      </c>
      <c r="G5" s="6">
        <v>127642</v>
      </c>
      <c r="H5" s="6">
        <v>1112</v>
      </c>
      <c r="I5" s="6">
        <v>1419379.04</v>
      </c>
      <c r="J5" s="9">
        <v>1.14E-2</v>
      </c>
      <c r="K5" s="9">
        <v>0</v>
      </c>
      <c r="L5" s="9">
        <v>0</v>
      </c>
      <c r="M5" s="6">
        <v>0</v>
      </c>
      <c r="N5" s="6">
        <v>20422.72</v>
      </c>
      <c r="O5" s="9">
        <v>1.46E-2</v>
      </c>
      <c r="P5" s="9">
        <v>1.46E-2</v>
      </c>
      <c r="Q5" s="6">
        <v>0</v>
      </c>
      <c r="R5" s="9">
        <v>0</v>
      </c>
      <c r="S5" s="4" t="s">
        <v>58</v>
      </c>
    </row>
    <row r="6" spans="1:19" x14ac:dyDescent="0.2">
      <c r="A6" s="4">
        <v>130013</v>
      </c>
      <c r="B6" s="4" t="s">
        <v>57</v>
      </c>
      <c r="C6" s="14" t="s">
        <v>80</v>
      </c>
      <c r="D6" s="6">
        <v>61559</v>
      </c>
      <c r="E6" s="6">
        <v>3998</v>
      </c>
      <c r="F6" s="6">
        <v>2461128.8199999998</v>
      </c>
      <c r="G6" s="6">
        <v>61559</v>
      </c>
      <c r="H6" s="6">
        <v>3960</v>
      </c>
      <c r="I6" s="6">
        <v>2437736.4</v>
      </c>
      <c r="J6" s="9">
        <v>1.9599999999999999E-2</v>
      </c>
      <c r="K6" s="9">
        <v>0</v>
      </c>
      <c r="L6" s="9">
        <v>0</v>
      </c>
      <c r="M6" s="6">
        <v>0</v>
      </c>
      <c r="N6" s="6">
        <v>-23392.42</v>
      </c>
      <c r="O6" s="9">
        <v>-9.4999999999999998E-3</v>
      </c>
      <c r="P6" s="9">
        <v>-9.4999999999999998E-3</v>
      </c>
      <c r="Q6" s="6">
        <v>0</v>
      </c>
      <c r="R6" s="9">
        <v>0</v>
      </c>
      <c r="S6" s="4" t="s">
        <v>58</v>
      </c>
    </row>
    <row r="7" spans="1:19" x14ac:dyDescent="0.2">
      <c r="A7" s="4">
        <v>156018</v>
      </c>
      <c r="B7" s="4" t="s">
        <v>57</v>
      </c>
      <c r="C7" s="14" t="s">
        <v>81</v>
      </c>
      <c r="D7" s="6">
        <v>2366</v>
      </c>
      <c r="E7" s="6">
        <v>9034</v>
      </c>
      <c r="F7" s="6">
        <v>213744.44</v>
      </c>
      <c r="G7" s="6">
        <v>2366</v>
      </c>
      <c r="H7" s="6">
        <v>9338</v>
      </c>
      <c r="I7" s="6">
        <v>220937.08</v>
      </c>
      <c r="J7" s="9">
        <v>1.8E-3</v>
      </c>
      <c r="K7" s="9">
        <v>0</v>
      </c>
      <c r="L7" s="9">
        <v>0</v>
      </c>
      <c r="M7" s="6">
        <v>0</v>
      </c>
      <c r="N7" s="6">
        <v>7192.64</v>
      </c>
      <c r="O7" s="9">
        <v>3.3700000000000001E-2</v>
      </c>
      <c r="P7" s="9">
        <v>3.3649999999999999E-2</v>
      </c>
      <c r="Q7" s="6">
        <v>0</v>
      </c>
      <c r="R7" s="9">
        <v>0</v>
      </c>
      <c r="S7" s="4" t="s">
        <v>58</v>
      </c>
    </row>
    <row r="8" spans="1:19" x14ac:dyDescent="0.2">
      <c r="A8" s="4">
        <v>161018</v>
      </c>
      <c r="B8" s="4" t="s">
        <v>57</v>
      </c>
      <c r="C8" s="14" t="s">
        <v>82</v>
      </c>
      <c r="D8" s="6">
        <v>14299</v>
      </c>
      <c r="E8" s="6">
        <v>6053</v>
      </c>
      <c r="F8" s="6">
        <v>865518.47</v>
      </c>
      <c r="G8" s="6">
        <v>14299</v>
      </c>
      <c r="H8" s="6">
        <v>6053</v>
      </c>
      <c r="I8" s="6">
        <v>865518.47</v>
      </c>
      <c r="J8" s="9">
        <v>7.0000000000000001E-3</v>
      </c>
      <c r="K8" s="9">
        <v>0</v>
      </c>
      <c r="L8" s="9">
        <v>0</v>
      </c>
      <c r="M8" s="6">
        <v>0</v>
      </c>
      <c r="N8" s="6">
        <v>0</v>
      </c>
      <c r="O8" s="9">
        <v>0</v>
      </c>
      <c r="P8" s="9">
        <v>0</v>
      </c>
      <c r="Q8" s="6">
        <v>0</v>
      </c>
      <c r="R8" s="9">
        <v>0</v>
      </c>
      <c r="S8" s="4" t="s">
        <v>58</v>
      </c>
    </row>
    <row r="9" spans="1:19" x14ac:dyDescent="0.2">
      <c r="A9" s="4">
        <v>168013</v>
      </c>
      <c r="B9" s="4" t="s">
        <v>57</v>
      </c>
      <c r="C9" s="14" t="s">
        <v>83</v>
      </c>
      <c r="D9" s="6">
        <v>1291</v>
      </c>
      <c r="E9" s="6">
        <v>28600</v>
      </c>
      <c r="F9" s="6">
        <v>369226</v>
      </c>
      <c r="G9" s="6">
        <v>1291</v>
      </c>
      <c r="H9" s="6">
        <v>28720</v>
      </c>
      <c r="I9" s="6">
        <v>370775.2</v>
      </c>
      <c r="J9" s="9">
        <v>3.0000000000000001E-3</v>
      </c>
      <c r="K9" s="9">
        <v>0</v>
      </c>
      <c r="L9" s="9">
        <v>0</v>
      </c>
      <c r="M9" s="6">
        <v>0</v>
      </c>
      <c r="N9" s="6">
        <v>1549.2</v>
      </c>
      <c r="O9" s="9">
        <v>4.1999999999999997E-3</v>
      </c>
      <c r="P9" s="9">
        <v>4.1999999999999997E-3</v>
      </c>
      <c r="Q9" s="6">
        <v>0</v>
      </c>
      <c r="R9" s="9">
        <v>0</v>
      </c>
      <c r="S9" s="4" t="s">
        <v>58</v>
      </c>
    </row>
    <row r="10" spans="1:19" x14ac:dyDescent="0.2">
      <c r="A10" s="4">
        <v>209015</v>
      </c>
      <c r="B10" s="4" t="s">
        <v>57</v>
      </c>
      <c r="C10" s="14" t="s">
        <v>84</v>
      </c>
      <c r="D10" s="6">
        <v>7246</v>
      </c>
      <c r="E10" s="6">
        <v>12710</v>
      </c>
      <c r="F10" s="6">
        <v>920966.6</v>
      </c>
      <c r="G10" s="6">
        <v>7246</v>
      </c>
      <c r="H10" s="6">
        <v>13030</v>
      </c>
      <c r="I10" s="6">
        <v>944153.8</v>
      </c>
      <c r="J10" s="9">
        <v>7.6E-3</v>
      </c>
      <c r="K10" s="9">
        <v>0</v>
      </c>
      <c r="L10" s="9">
        <v>0</v>
      </c>
      <c r="M10" s="6">
        <v>0</v>
      </c>
      <c r="N10" s="6">
        <v>23187.200000000001</v>
      </c>
      <c r="O10" s="9">
        <v>2.52E-2</v>
      </c>
      <c r="P10" s="9">
        <v>2.5180000000000001E-2</v>
      </c>
      <c r="Q10" s="6">
        <v>0</v>
      </c>
      <c r="R10" s="9">
        <v>0</v>
      </c>
      <c r="S10" s="4" t="s">
        <v>58</v>
      </c>
    </row>
    <row r="11" spans="1:19" x14ac:dyDescent="0.2">
      <c r="A11" s="4">
        <v>230011</v>
      </c>
      <c r="B11" s="4" t="s">
        <v>57</v>
      </c>
      <c r="C11" s="14" t="s">
        <v>85</v>
      </c>
      <c r="D11" s="6">
        <v>139957</v>
      </c>
      <c r="E11" s="6">
        <v>810.9</v>
      </c>
      <c r="F11" s="6">
        <v>1134911.31</v>
      </c>
      <c r="G11" s="6">
        <v>139957</v>
      </c>
      <c r="H11" s="6">
        <v>826.5</v>
      </c>
      <c r="I11" s="6">
        <v>1156744.6100000001</v>
      </c>
      <c r="J11" s="9">
        <v>9.2999999999999992E-3</v>
      </c>
      <c r="K11" s="9">
        <v>0</v>
      </c>
      <c r="L11" s="9">
        <v>0</v>
      </c>
      <c r="M11" s="6">
        <v>0</v>
      </c>
      <c r="N11" s="6">
        <v>21833.292000000001</v>
      </c>
      <c r="O11" s="9">
        <v>1.9199999999999998E-2</v>
      </c>
      <c r="P11" s="9">
        <v>1.924E-2</v>
      </c>
      <c r="Q11" s="6">
        <v>0</v>
      </c>
      <c r="R11" s="9">
        <v>0</v>
      </c>
      <c r="S11" s="4" t="s">
        <v>58</v>
      </c>
    </row>
    <row r="12" spans="1:19" x14ac:dyDescent="0.2">
      <c r="A12" s="4">
        <v>232017</v>
      </c>
      <c r="B12" s="4" t="s">
        <v>57</v>
      </c>
      <c r="C12" s="14" t="s">
        <v>86</v>
      </c>
      <c r="D12" s="6">
        <v>270500</v>
      </c>
      <c r="E12" s="6">
        <v>221</v>
      </c>
      <c r="F12" s="6">
        <v>597805</v>
      </c>
      <c r="G12" s="6">
        <v>270500</v>
      </c>
      <c r="H12" s="6">
        <v>212.5</v>
      </c>
      <c r="I12" s="6">
        <v>574812.5</v>
      </c>
      <c r="J12" s="9">
        <v>4.5999999999999999E-3</v>
      </c>
      <c r="K12" s="9">
        <v>0</v>
      </c>
      <c r="L12" s="9">
        <v>0</v>
      </c>
      <c r="M12" s="6">
        <v>0</v>
      </c>
      <c r="N12" s="6">
        <v>-22992.5</v>
      </c>
      <c r="O12" s="9">
        <v>-3.85E-2</v>
      </c>
      <c r="P12" s="9">
        <v>-3.8460000000000001E-2</v>
      </c>
      <c r="Q12" s="6">
        <v>0</v>
      </c>
      <c r="R12" s="9">
        <v>0</v>
      </c>
      <c r="S12" s="4" t="s">
        <v>58</v>
      </c>
    </row>
    <row r="13" spans="1:19" x14ac:dyDescent="0.2">
      <c r="A13" s="4">
        <v>249011</v>
      </c>
      <c r="B13" s="4" t="s">
        <v>57</v>
      </c>
      <c r="C13" s="14" t="s">
        <v>87</v>
      </c>
      <c r="D13" s="6">
        <v>962432</v>
      </c>
      <c r="E13" s="6">
        <v>315.5</v>
      </c>
      <c r="F13" s="6">
        <v>3036472.96</v>
      </c>
      <c r="G13" s="6">
        <v>962432</v>
      </c>
      <c r="H13" s="6">
        <v>315.7</v>
      </c>
      <c r="I13" s="6">
        <v>3038397.82</v>
      </c>
      <c r="J13" s="9">
        <v>2.4400000000000002E-2</v>
      </c>
      <c r="K13" s="9">
        <v>0</v>
      </c>
      <c r="L13" s="9">
        <v>0</v>
      </c>
      <c r="M13" s="6">
        <v>0</v>
      </c>
      <c r="N13" s="6">
        <v>1924.864</v>
      </c>
      <c r="O13" s="9">
        <v>5.9999999999999995E-4</v>
      </c>
      <c r="P13" s="9">
        <v>6.3000000000000003E-4</v>
      </c>
      <c r="Q13" s="6">
        <v>0</v>
      </c>
      <c r="R13" s="9">
        <v>0</v>
      </c>
      <c r="S13" s="4" t="s">
        <v>58</v>
      </c>
    </row>
    <row r="14" spans="1:19" x14ac:dyDescent="0.2">
      <c r="A14" s="4">
        <v>273011</v>
      </c>
      <c r="B14" s="4" t="s">
        <v>57</v>
      </c>
      <c r="C14" s="14" t="s">
        <v>88</v>
      </c>
      <c r="D14" s="6">
        <v>1982</v>
      </c>
      <c r="E14" s="6">
        <v>35090</v>
      </c>
      <c r="F14" s="6">
        <v>695483.8</v>
      </c>
      <c r="G14" s="6">
        <v>1982</v>
      </c>
      <c r="H14" s="6">
        <v>35500</v>
      </c>
      <c r="I14" s="6">
        <v>703610</v>
      </c>
      <c r="J14" s="9">
        <v>5.7000000000000002E-3</v>
      </c>
      <c r="K14" s="9">
        <v>0</v>
      </c>
      <c r="L14" s="9">
        <v>0</v>
      </c>
      <c r="M14" s="6">
        <v>0</v>
      </c>
      <c r="N14" s="6">
        <v>8126.2</v>
      </c>
      <c r="O14" s="9">
        <v>1.17E-2</v>
      </c>
      <c r="P14" s="9">
        <v>1.1679999999999999E-2</v>
      </c>
      <c r="Q14" s="6">
        <v>0</v>
      </c>
      <c r="R14" s="9">
        <v>0</v>
      </c>
      <c r="S14" s="4" t="s">
        <v>58</v>
      </c>
    </row>
    <row r="15" spans="1:19" x14ac:dyDescent="0.2">
      <c r="A15" s="4">
        <v>280016</v>
      </c>
      <c r="B15" s="4" t="s">
        <v>57</v>
      </c>
      <c r="C15" s="14" t="s">
        <v>89</v>
      </c>
      <c r="D15" s="6">
        <v>1924</v>
      </c>
      <c r="E15" s="6">
        <v>11120</v>
      </c>
      <c r="F15" s="6">
        <v>213948.79999999999</v>
      </c>
      <c r="G15" s="6">
        <v>1924</v>
      </c>
      <c r="H15" s="6">
        <v>11090</v>
      </c>
      <c r="I15" s="6">
        <v>213371.6</v>
      </c>
      <c r="J15" s="9">
        <v>1.6999999999999999E-3</v>
      </c>
      <c r="K15" s="9">
        <v>0</v>
      </c>
      <c r="L15" s="9">
        <v>0</v>
      </c>
      <c r="M15" s="6">
        <v>0</v>
      </c>
      <c r="N15" s="6">
        <v>-577.20000000000005</v>
      </c>
      <c r="O15" s="9">
        <v>-2.7000000000000001E-3</v>
      </c>
      <c r="P15" s="9">
        <v>-2.7000000000000001E-3</v>
      </c>
      <c r="Q15" s="6">
        <v>0</v>
      </c>
      <c r="R15" s="9">
        <v>0</v>
      </c>
      <c r="S15" s="4" t="s">
        <v>58</v>
      </c>
    </row>
    <row r="16" spans="1:19" x14ac:dyDescent="0.2">
      <c r="A16" s="4">
        <v>286013</v>
      </c>
      <c r="B16" s="4" t="s">
        <v>57</v>
      </c>
      <c r="C16" s="14" t="s">
        <v>90</v>
      </c>
      <c r="D16" s="6">
        <v>4030.53</v>
      </c>
      <c r="E16" s="6">
        <v>2628</v>
      </c>
      <c r="F16" s="6">
        <v>105922.33</v>
      </c>
      <c r="G16" s="6">
        <v>4030.53</v>
      </c>
      <c r="H16" s="6">
        <v>2600</v>
      </c>
      <c r="I16" s="6">
        <v>104793.78</v>
      </c>
      <c r="J16" s="9">
        <v>8.0000000000000004E-4</v>
      </c>
      <c r="K16" s="9">
        <v>0</v>
      </c>
      <c r="L16" s="9">
        <v>0</v>
      </c>
      <c r="M16" s="6">
        <v>0</v>
      </c>
      <c r="N16" s="6">
        <v>-1128.5483999999999</v>
      </c>
      <c r="O16" s="9">
        <v>-1.0699999999999999E-2</v>
      </c>
      <c r="P16" s="9">
        <v>-1.065E-2</v>
      </c>
      <c r="Q16" s="6">
        <v>0</v>
      </c>
      <c r="R16" s="9">
        <v>0</v>
      </c>
      <c r="S16" s="4" t="s">
        <v>58</v>
      </c>
    </row>
    <row r="17" spans="1:19" x14ac:dyDescent="0.2">
      <c r="A17" s="4">
        <v>288019</v>
      </c>
      <c r="B17" s="4" t="s">
        <v>57</v>
      </c>
      <c r="C17" s="14" t="s">
        <v>91</v>
      </c>
      <c r="D17" s="6">
        <v>3363</v>
      </c>
      <c r="E17" s="6">
        <v>20230</v>
      </c>
      <c r="F17" s="6">
        <v>680334.9</v>
      </c>
      <c r="G17" s="6">
        <v>3363</v>
      </c>
      <c r="H17" s="6">
        <v>20500</v>
      </c>
      <c r="I17" s="6">
        <v>689415</v>
      </c>
      <c r="J17" s="9">
        <v>5.4999999999999997E-3</v>
      </c>
      <c r="K17" s="9">
        <v>0</v>
      </c>
      <c r="L17" s="9">
        <v>0</v>
      </c>
      <c r="M17" s="6">
        <v>0</v>
      </c>
      <c r="N17" s="6">
        <v>9080.1</v>
      </c>
      <c r="O17" s="9">
        <v>1.3299999999999999E-2</v>
      </c>
      <c r="P17" s="9">
        <v>1.3350000000000001E-2</v>
      </c>
      <c r="Q17" s="6">
        <v>0</v>
      </c>
      <c r="R17" s="9">
        <v>0</v>
      </c>
      <c r="S17" s="4" t="s">
        <v>58</v>
      </c>
    </row>
    <row r="18" spans="1:19" x14ac:dyDescent="0.2">
      <c r="A18" s="4">
        <v>315010</v>
      </c>
      <c r="B18" s="4" t="s">
        <v>57</v>
      </c>
      <c r="C18" s="14" t="s">
        <v>92</v>
      </c>
      <c r="D18" s="6">
        <v>471</v>
      </c>
      <c r="E18" s="6">
        <v>26890</v>
      </c>
      <c r="F18" s="6">
        <v>126651.9</v>
      </c>
      <c r="G18" s="6">
        <v>471</v>
      </c>
      <c r="H18" s="6">
        <v>27150</v>
      </c>
      <c r="I18" s="6">
        <v>127876.5</v>
      </c>
      <c r="J18" s="9">
        <v>1E-3</v>
      </c>
      <c r="K18" s="9">
        <v>0</v>
      </c>
      <c r="L18" s="9">
        <v>0</v>
      </c>
      <c r="M18" s="6">
        <v>0</v>
      </c>
      <c r="N18" s="6">
        <v>1224.5999999999999</v>
      </c>
      <c r="O18" s="9">
        <v>9.7000000000000003E-3</v>
      </c>
      <c r="P18" s="9">
        <v>9.6699999999999998E-3</v>
      </c>
      <c r="Q18" s="6">
        <v>0</v>
      </c>
      <c r="R18" s="9">
        <v>0</v>
      </c>
      <c r="S18" s="4" t="s">
        <v>58</v>
      </c>
    </row>
    <row r="19" spans="1:19" x14ac:dyDescent="0.2">
      <c r="A19" s="4">
        <v>323014</v>
      </c>
      <c r="B19" s="4" t="s">
        <v>57</v>
      </c>
      <c r="C19" s="14" t="s">
        <v>93</v>
      </c>
      <c r="D19" s="6">
        <v>533</v>
      </c>
      <c r="E19" s="6">
        <v>42700</v>
      </c>
      <c r="F19" s="6">
        <v>227591</v>
      </c>
      <c r="G19" s="6">
        <v>533</v>
      </c>
      <c r="H19" s="6">
        <v>42430</v>
      </c>
      <c r="I19" s="6">
        <v>226151.9</v>
      </c>
      <c r="J19" s="9">
        <v>1.8E-3</v>
      </c>
      <c r="K19" s="9">
        <v>0</v>
      </c>
      <c r="L19" s="9">
        <v>0</v>
      </c>
      <c r="M19" s="6">
        <v>0</v>
      </c>
      <c r="N19" s="6">
        <v>-1439.1</v>
      </c>
      <c r="O19" s="9">
        <v>-6.3E-3</v>
      </c>
      <c r="P19" s="9">
        <v>-6.3200000000000001E-3</v>
      </c>
      <c r="Q19" s="6">
        <v>0</v>
      </c>
      <c r="R19" s="9">
        <v>0</v>
      </c>
      <c r="S19" s="4" t="s">
        <v>58</v>
      </c>
    </row>
    <row r="20" spans="1:19" x14ac:dyDescent="0.2">
      <c r="A20" s="4">
        <v>338012</v>
      </c>
      <c r="B20" s="4" t="s">
        <v>57</v>
      </c>
      <c r="C20" s="14" t="s">
        <v>94</v>
      </c>
      <c r="D20" s="6">
        <v>139231</v>
      </c>
      <c r="E20" s="6">
        <v>4050</v>
      </c>
      <c r="F20" s="6">
        <v>5638855.5</v>
      </c>
      <c r="G20" s="6">
        <v>139231</v>
      </c>
      <c r="H20" s="6">
        <v>4172</v>
      </c>
      <c r="I20" s="6">
        <v>5808717.3200000003</v>
      </c>
      <c r="J20" s="9">
        <v>4.6600000000000003E-2</v>
      </c>
      <c r="K20" s="9">
        <v>0</v>
      </c>
      <c r="L20" s="9">
        <v>0</v>
      </c>
      <c r="M20" s="6">
        <v>0</v>
      </c>
      <c r="N20" s="6">
        <v>169861.82</v>
      </c>
      <c r="O20" s="9">
        <v>3.0099999999999998E-2</v>
      </c>
      <c r="P20" s="9">
        <v>3.0120000000000001E-2</v>
      </c>
      <c r="Q20" s="6">
        <v>0</v>
      </c>
      <c r="R20" s="9">
        <v>0</v>
      </c>
      <c r="S20" s="4" t="s">
        <v>58</v>
      </c>
    </row>
    <row r="21" spans="1:19" x14ac:dyDescent="0.2">
      <c r="A21" s="4">
        <v>354019</v>
      </c>
      <c r="B21" s="4" t="s">
        <v>57</v>
      </c>
      <c r="C21" s="14" t="s">
        <v>95</v>
      </c>
      <c r="D21" s="6">
        <v>579</v>
      </c>
      <c r="E21" s="6">
        <v>21780</v>
      </c>
      <c r="F21" s="6">
        <v>126106.2</v>
      </c>
      <c r="G21" s="6">
        <v>579</v>
      </c>
      <c r="H21" s="6">
        <v>22500</v>
      </c>
      <c r="I21" s="6">
        <v>130275</v>
      </c>
      <c r="J21" s="9">
        <v>1E-3</v>
      </c>
      <c r="K21" s="9">
        <v>0</v>
      </c>
      <c r="L21" s="9">
        <v>0</v>
      </c>
      <c r="M21" s="6">
        <v>0</v>
      </c>
      <c r="N21" s="6">
        <v>4168.8</v>
      </c>
      <c r="O21" s="9">
        <v>3.3099999999999997E-2</v>
      </c>
      <c r="P21" s="9">
        <v>3.3059999999999999E-2</v>
      </c>
      <c r="Q21" s="6">
        <v>0</v>
      </c>
      <c r="R21" s="9">
        <v>0</v>
      </c>
      <c r="S21" s="4" t="s">
        <v>58</v>
      </c>
    </row>
    <row r="22" spans="1:19" x14ac:dyDescent="0.2">
      <c r="A22" s="4">
        <v>384016</v>
      </c>
      <c r="B22" s="4" t="s">
        <v>57</v>
      </c>
      <c r="C22" s="14" t="s">
        <v>96</v>
      </c>
      <c r="D22" s="6">
        <v>67016</v>
      </c>
      <c r="E22" s="6">
        <v>1798</v>
      </c>
      <c r="F22" s="6">
        <v>1204947.68</v>
      </c>
      <c r="G22" s="6">
        <v>67016</v>
      </c>
      <c r="H22" s="6">
        <v>1807</v>
      </c>
      <c r="I22" s="6">
        <v>1210979.1200000001</v>
      </c>
      <c r="J22" s="9">
        <v>9.7000000000000003E-3</v>
      </c>
      <c r="K22" s="9">
        <v>0</v>
      </c>
      <c r="L22" s="9">
        <v>0</v>
      </c>
      <c r="M22" s="6">
        <v>0</v>
      </c>
      <c r="N22" s="6">
        <v>6031.44</v>
      </c>
      <c r="O22" s="9">
        <v>5.0000000000000001E-3</v>
      </c>
      <c r="P22" s="9">
        <v>5.0099999999999997E-3</v>
      </c>
      <c r="Q22" s="6">
        <v>0</v>
      </c>
      <c r="R22" s="9">
        <v>0</v>
      </c>
      <c r="S22" s="4" t="s">
        <v>58</v>
      </c>
    </row>
    <row r="23" spans="1:19" x14ac:dyDescent="0.2">
      <c r="A23" s="4">
        <v>394015</v>
      </c>
      <c r="B23" s="4" t="s">
        <v>57</v>
      </c>
      <c r="C23" s="14" t="s">
        <v>97</v>
      </c>
      <c r="D23" s="6">
        <v>253588</v>
      </c>
      <c r="E23" s="6">
        <v>450</v>
      </c>
      <c r="F23" s="6">
        <v>1141146</v>
      </c>
      <c r="G23" s="6">
        <v>253588</v>
      </c>
      <c r="H23" s="6">
        <v>440</v>
      </c>
      <c r="I23" s="6">
        <v>1115787.2</v>
      </c>
      <c r="J23" s="9">
        <v>8.9999999999999993E-3</v>
      </c>
      <c r="K23" s="9">
        <v>0</v>
      </c>
      <c r="L23" s="9">
        <v>0</v>
      </c>
      <c r="M23" s="6">
        <v>0</v>
      </c>
      <c r="N23" s="6">
        <v>-25358.799999999999</v>
      </c>
      <c r="O23" s="9">
        <v>-2.2200000000000001E-2</v>
      </c>
      <c r="P23" s="9">
        <v>-2.222E-2</v>
      </c>
      <c r="Q23" s="6">
        <v>0</v>
      </c>
      <c r="R23" s="9">
        <v>0</v>
      </c>
      <c r="S23" s="4" t="s">
        <v>58</v>
      </c>
    </row>
    <row r="24" spans="1:19" x14ac:dyDescent="0.2">
      <c r="A24" s="4">
        <v>413013</v>
      </c>
      <c r="B24" s="4" t="s">
        <v>57</v>
      </c>
      <c r="C24" s="14" t="s">
        <v>98</v>
      </c>
      <c r="D24" s="6">
        <v>13777</v>
      </c>
      <c r="E24" s="6">
        <v>1901</v>
      </c>
      <c r="F24" s="6">
        <v>261900.77</v>
      </c>
      <c r="G24" s="6">
        <v>13777</v>
      </c>
      <c r="H24" s="6">
        <v>1918</v>
      </c>
      <c r="I24" s="6">
        <v>264242.86</v>
      </c>
      <c r="J24" s="9">
        <v>2.0999999999999999E-3</v>
      </c>
      <c r="K24" s="9">
        <v>0</v>
      </c>
      <c r="L24" s="9">
        <v>0</v>
      </c>
      <c r="M24" s="6">
        <v>0</v>
      </c>
      <c r="N24" s="6">
        <v>2342.09</v>
      </c>
      <c r="O24" s="9">
        <v>8.8999999999999999E-3</v>
      </c>
      <c r="P24" s="9">
        <v>8.94E-3</v>
      </c>
      <c r="Q24" s="6">
        <v>0</v>
      </c>
      <c r="R24" s="9">
        <v>0</v>
      </c>
      <c r="S24" s="4" t="s">
        <v>58</v>
      </c>
    </row>
    <row r="25" spans="1:19" x14ac:dyDescent="0.2">
      <c r="A25" s="4">
        <v>421016</v>
      </c>
      <c r="B25" s="4" t="s">
        <v>57</v>
      </c>
      <c r="C25" s="14" t="s">
        <v>99</v>
      </c>
      <c r="D25" s="6">
        <v>46031</v>
      </c>
      <c r="E25" s="6">
        <v>978</v>
      </c>
      <c r="F25" s="6">
        <v>450183.18</v>
      </c>
      <c r="G25" s="6">
        <v>46031</v>
      </c>
      <c r="H25" s="6">
        <v>978.8</v>
      </c>
      <c r="I25" s="6">
        <v>450551.43</v>
      </c>
      <c r="J25" s="9">
        <v>3.5999999999999999E-3</v>
      </c>
      <c r="K25" s="9">
        <v>0</v>
      </c>
      <c r="L25" s="9">
        <v>0</v>
      </c>
      <c r="M25" s="6">
        <v>0</v>
      </c>
      <c r="N25" s="6">
        <v>368.24799999999999</v>
      </c>
      <c r="O25" s="9">
        <v>8.0000000000000004E-4</v>
      </c>
      <c r="P25" s="9">
        <v>8.1999999999999998E-4</v>
      </c>
      <c r="Q25" s="6">
        <v>0</v>
      </c>
      <c r="R25" s="9">
        <v>0</v>
      </c>
      <c r="S25" s="4" t="s">
        <v>58</v>
      </c>
    </row>
    <row r="26" spans="1:19" x14ac:dyDescent="0.2">
      <c r="A26" s="4">
        <v>442012</v>
      </c>
      <c r="B26" s="4" t="s">
        <v>57</v>
      </c>
      <c r="C26" s="14" t="s">
        <v>100</v>
      </c>
      <c r="D26" s="6">
        <v>1030</v>
      </c>
      <c r="E26" s="6">
        <v>4281</v>
      </c>
      <c r="F26" s="6">
        <v>44094.3</v>
      </c>
      <c r="G26" s="6">
        <v>1030</v>
      </c>
      <c r="H26" s="6">
        <v>4417</v>
      </c>
      <c r="I26" s="6">
        <v>45495.1</v>
      </c>
      <c r="J26" s="9">
        <v>4.0000000000000002E-4</v>
      </c>
      <c r="K26" s="9">
        <v>0</v>
      </c>
      <c r="L26" s="9">
        <v>0</v>
      </c>
      <c r="M26" s="6">
        <v>0</v>
      </c>
      <c r="N26" s="6">
        <v>1400.8</v>
      </c>
      <c r="O26" s="9">
        <v>3.1800000000000002E-2</v>
      </c>
      <c r="P26" s="9">
        <v>3.177E-2</v>
      </c>
      <c r="Q26" s="6">
        <v>0</v>
      </c>
      <c r="R26" s="9">
        <v>0</v>
      </c>
      <c r="S26" s="4" t="s">
        <v>58</v>
      </c>
    </row>
    <row r="27" spans="1:19" x14ac:dyDescent="0.2">
      <c r="A27" s="4">
        <v>445015</v>
      </c>
      <c r="B27" s="4" t="s">
        <v>57</v>
      </c>
      <c r="C27" s="14" t="s">
        <v>101</v>
      </c>
      <c r="D27" s="6">
        <v>1068.07</v>
      </c>
      <c r="E27" s="6">
        <v>9520</v>
      </c>
      <c r="F27" s="6">
        <v>101680.26</v>
      </c>
      <c r="G27" s="6">
        <v>1068.07</v>
      </c>
      <c r="H27" s="6">
        <v>9471</v>
      </c>
      <c r="I27" s="6">
        <v>101156.91</v>
      </c>
      <c r="J27" s="9">
        <v>8.0000000000000004E-4</v>
      </c>
      <c r="K27" s="9">
        <v>0</v>
      </c>
      <c r="L27" s="9">
        <v>0</v>
      </c>
      <c r="M27" s="6">
        <v>0</v>
      </c>
      <c r="N27" s="6">
        <v>-523.35429999999997</v>
      </c>
      <c r="O27" s="9">
        <v>-5.1000000000000004E-3</v>
      </c>
      <c r="P27" s="9">
        <v>-5.1500000000000001E-3</v>
      </c>
      <c r="Q27" s="6">
        <v>0</v>
      </c>
      <c r="R27" s="9">
        <v>0</v>
      </c>
      <c r="S27" s="4" t="s">
        <v>58</v>
      </c>
    </row>
    <row r="28" spans="1:19" x14ac:dyDescent="0.2">
      <c r="A28" s="4">
        <v>475020</v>
      </c>
      <c r="B28" s="4" t="s">
        <v>57</v>
      </c>
      <c r="C28" s="14" t="s">
        <v>102</v>
      </c>
      <c r="D28" s="6">
        <v>12968</v>
      </c>
      <c r="E28" s="6">
        <v>2025</v>
      </c>
      <c r="F28" s="6">
        <v>262602</v>
      </c>
      <c r="G28" s="6">
        <v>12968</v>
      </c>
      <c r="H28" s="6">
        <v>1954</v>
      </c>
      <c r="I28" s="6">
        <v>253394.72</v>
      </c>
      <c r="J28" s="9">
        <v>2E-3</v>
      </c>
      <c r="K28" s="9">
        <v>0</v>
      </c>
      <c r="L28" s="9">
        <v>0</v>
      </c>
      <c r="M28" s="6">
        <v>0</v>
      </c>
      <c r="N28" s="6">
        <v>-9207.2800000000007</v>
      </c>
      <c r="O28" s="9">
        <v>-3.5099999999999999E-2</v>
      </c>
      <c r="P28" s="9">
        <v>-3.5060000000000001E-2</v>
      </c>
      <c r="Q28" s="6">
        <v>0</v>
      </c>
      <c r="R28" s="9">
        <v>0</v>
      </c>
      <c r="S28" s="4" t="s">
        <v>58</v>
      </c>
    </row>
    <row r="29" spans="1:19" x14ac:dyDescent="0.2">
      <c r="A29" s="4">
        <v>522011</v>
      </c>
      <c r="B29" s="4" t="s">
        <v>57</v>
      </c>
      <c r="C29" s="14" t="s">
        <v>103</v>
      </c>
      <c r="D29" s="6">
        <v>20667</v>
      </c>
      <c r="E29" s="6">
        <v>2626</v>
      </c>
      <c r="F29" s="6">
        <v>542715.42000000004</v>
      </c>
      <c r="G29" s="6">
        <v>20667</v>
      </c>
      <c r="H29" s="6">
        <v>2694</v>
      </c>
      <c r="I29" s="6">
        <v>556768.98</v>
      </c>
      <c r="J29" s="9">
        <v>4.4999999999999997E-3</v>
      </c>
      <c r="K29" s="9">
        <v>0</v>
      </c>
      <c r="L29" s="9">
        <v>0</v>
      </c>
      <c r="M29" s="6">
        <v>0</v>
      </c>
      <c r="N29" s="6">
        <v>14053.56</v>
      </c>
      <c r="O29" s="9">
        <v>2.5899999999999999E-2</v>
      </c>
      <c r="P29" s="9">
        <v>2.589E-2</v>
      </c>
      <c r="Q29" s="6">
        <v>0</v>
      </c>
      <c r="R29" s="9">
        <v>0</v>
      </c>
      <c r="S29" s="4" t="s">
        <v>58</v>
      </c>
    </row>
    <row r="30" spans="1:19" x14ac:dyDescent="0.2">
      <c r="A30" s="4">
        <v>604611</v>
      </c>
      <c r="B30" s="4" t="s">
        <v>57</v>
      </c>
      <c r="C30" s="14" t="s">
        <v>104</v>
      </c>
      <c r="D30" s="6">
        <v>35704</v>
      </c>
      <c r="E30" s="6">
        <v>7416</v>
      </c>
      <c r="F30" s="6">
        <v>2647808.64</v>
      </c>
      <c r="G30" s="6">
        <v>35704</v>
      </c>
      <c r="H30" s="6">
        <v>7577</v>
      </c>
      <c r="I30" s="6">
        <v>2705292.08</v>
      </c>
      <c r="J30" s="9">
        <v>2.1700000000000001E-2</v>
      </c>
      <c r="K30" s="9">
        <v>0</v>
      </c>
      <c r="L30" s="9">
        <v>0</v>
      </c>
      <c r="M30" s="6">
        <v>0</v>
      </c>
      <c r="N30" s="6">
        <v>57483.44</v>
      </c>
      <c r="O30" s="9">
        <v>2.1700000000000001E-2</v>
      </c>
      <c r="P30" s="9">
        <v>2.171E-2</v>
      </c>
      <c r="Q30" s="6">
        <v>0</v>
      </c>
      <c r="R30" s="9">
        <v>0</v>
      </c>
      <c r="S30" s="4" t="s">
        <v>58</v>
      </c>
    </row>
    <row r="31" spans="1:19" x14ac:dyDescent="0.2">
      <c r="A31" s="4">
        <v>625012</v>
      </c>
      <c r="B31" s="4" t="s">
        <v>57</v>
      </c>
      <c r="C31" s="14" t="s">
        <v>105</v>
      </c>
      <c r="D31" s="6">
        <v>52496</v>
      </c>
      <c r="E31" s="6">
        <v>3113</v>
      </c>
      <c r="F31" s="6">
        <v>1634200.48</v>
      </c>
      <c r="G31" s="6">
        <v>52496</v>
      </c>
      <c r="H31" s="6">
        <v>3135</v>
      </c>
      <c r="I31" s="6">
        <v>1645749.6</v>
      </c>
      <c r="J31" s="9">
        <v>1.32E-2</v>
      </c>
      <c r="K31" s="9">
        <v>0</v>
      </c>
      <c r="L31" s="9">
        <v>0</v>
      </c>
      <c r="M31" s="6">
        <v>0</v>
      </c>
      <c r="N31" s="6">
        <v>11549.12</v>
      </c>
      <c r="O31" s="9">
        <v>7.1000000000000004E-3</v>
      </c>
      <c r="P31" s="9">
        <v>7.0699999999999999E-3</v>
      </c>
      <c r="Q31" s="6">
        <v>0</v>
      </c>
      <c r="R31" s="9">
        <v>0</v>
      </c>
      <c r="S31" s="4" t="s">
        <v>58</v>
      </c>
    </row>
    <row r="32" spans="1:19" x14ac:dyDescent="0.2">
      <c r="A32" s="4">
        <v>629014</v>
      </c>
      <c r="B32" s="4" t="s">
        <v>57</v>
      </c>
      <c r="C32" s="14" t="s">
        <v>106</v>
      </c>
      <c r="D32" s="6">
        <v>14689</v>
      </c>
      <c r="E32" s="6">
        <v>10550</v>
      </c>
      <c r="F32" s="6">
        <v>1549689.5</v>
      </c>
      <c r="G32" s="6">
        <v>14689</v>
      </c>
      <c r="H32" s="6">
        <v>10610</v>
      </c>
      <c r="I32" s="6">
        <v>1558502.9</v>
      </c>
      <c r="J32" s="9">
        <v>1.2500000000000001E-2</v>
      </c>
      <c r="K32" s="9">
        <v>0</v>
      </c>
      <c r="L32" s="9">
        <v>0</v>
      </c>
      <c r="M32" s="6">
        <v>0</v>
      </c>
      <c r="N32" s="6">
        <v>8813.4</v>
      </c>
      <c r="O32" s="9">
        <v>5.7000000000000002E-3</v>
      </c>
      <c r="P32" s="9">
        <v>5.6899999999999997E-3</v>
      </c>
      <c r="Q32" s="6">
        <v>0</v>
      </c>
      <c r="R32" s="9">
        <v>0</v>
      </c>
      <c r="S32" s="4" t="s">
        <v>58</v>
      </c>
    </row>
    <row r="33" spans="1:19" x14ac:dyDescent="0.2">
      <c r="A33" s="4">
        <v>644013</v>
      </c>
      <c r="B33" s="4" t="s">
        <v>57</v>
      </c>
      <c r="C33" s="14" t="s">
        <v>107</v>
      </c>
      <c r="D33" s="6">
        <v>19206</v>
      </c>
      <c r="E33" s="6">
        <v>5451</v>
      </c>
      <c r="F33" s="6">
        <v>1046919.06</v>
      </c>
      <c r="G33" s="6">
        <v>19206</v>
      </c>
      <c r="H33" s="6">
        <v>5394</v>
      </c>
      <c r="I33" s="6">
        <v>1035971.64</v>
      </c>
      <c r="J33" s="9">
        <v>8.3000000000000001E-3</v>
      </c>
      <c r="K33" s="9">
        <v>0</v>
      </c>
      <c r="L33" s="9">
        <v>0</v>
      </c>
      <c r="M33" s="6">
        <v>0</v>
      </c>
      <c r="N33" s="6">
        <v>-10947.42</v>
      </c>
      <c r="O33" s="9">
        <v>-1.0500000000000001E-2</v>
      </c>
      <c r="P33" s="9">
        <v>-1.0460000000000001E-2</v>
      </c>
      <c r="Q33" s="6">
        <v>0</v>
      </c>
      <c r="R33" s="9">
        <v>0</v>
      </c>
      <c r="S33" s="4" t="s">
        <v>58</v>
      </c>
    </row>
    <row r="34" spans="1:19" x14ac:dyDescent="0.2">
      <c r="A34" s="4">
        <v>662577</v>
      </c>
      <c r="B34" s="4" t="s">
        <v>57</v>
      </c>
      <c r="C34" s="14" t="s">
        <v>108</v>
      </c>
      <c r="D34" s="6">
        <v>34706</v>
      </c>
      <c r="E34" s="6">
        <v>7744</v>
      </c>
      <c r="F34" s="6">
        <v>2687632.64</v>
      </c>
      <c r="G34" s="6">
        <v>34706</v>
      </c>
      <c r="H34" s="6">
        <v>7899</v>
      </c>
      <c r="I34" s="6">
        <v>2741426.94</v>
      </c>
      <c r="J34" s="9">
        <v>2.1999999999999999E-2</v>
      </c>
      <c r="K34" s="9">
        <v>0</v>
      </c>
      <c r="L34" s="9">
        <v>0</v>
      </c>
      <c r="M34" s="6">
        <v>0</v>
      </c>
      <c r="N34" s="6">
        <v>53794.3</v>
      </c>
      <c r="O34" s="9">
        <v>0.02</v>
      </c>
      <c r="P34" s="9">
        <v>2.002E-2</v>
      </c>
      <c r="Q34" s="6">
        <v>0</v>
      </c>
      <c r="R34" s="9">
        <v>0</v>
      </c>
      <c r="S34" s="4" t="s">
        <v>58</v>
      </c>
    </row>
    <row r="35" spans="1:19" x14ac:dyDescent="0.2">
      <c r="A35" s="4">
        <v>715011</v>
      </c>
      <c r="B35" s="4" t="s">
        <v>57</v>
      </c>
      <c r="C35" s="14" t="s">
        <v>109</v>
      </c>
      <c r="D35" s="6">
        <v>17451</v>
      </c>
      <c r="E35" s="6">
        <v>2161</v>
      </c>
      <c r="F35" s="6">
        <v>377116.11</v>
      </c>
      <c r="G35" s="6">
        <v>17451</v>
      </c>
      <c r="H35" s="6">
        <v>2118</v>
      </c>
      <c r="I35" s="6">
        <v>369612.18</v>
      </c>
      <c r="J35" s="9">
        <v>3.0000000000000001E-3</v>
      </c>
      <c r="K35" s="9">
        <v>0</v>
      </c>
      <c r="L35" s="9">
        <v>0</v>
      </c>
      <c r="M35" s="6">
        <v>0</v>
      </c>
      <c r="N35" s="6">
        <v>-7503.93</v>
      </c>
      <c r="O35" s="9">
        <v>-1.9900000000000001E-2</v>
      </c>
      <c r="P35" s="9">
        <v>-1.9900000000000001E-2</v>
      </c>
      <c r="Q35" s="6">
        <v>0</v>
      </c>
      <c r="R35" s="9">
        <v>0</v>
      </c>
      <c r="S35" s="4" t="s">
        <v>58</v>
      </c>
    </row>
    <row r="36" spans="1:19" x14ac:dyDescent="0.2">
      <c r="A36" s="4">
        <v>763011</v>
      </c>
      <c r="B36" s="4" t="s">
        <v>57</v>
      </c>
      <c r="C36" s="14" t="s">
        <v>110</v>
      </c>
      <c r="D36" s="6">
        <v>15866</v>
      </c>
      <c r="E36" s="6">
        <v>33440</v>
      </c>
      <c r="F36" s="6">
        <v>5305590.4000000004</v>
      </c>
      <c r="G36" s="6">
        <v>15866</v>
      </c>
      <c r="H36" s="6">
        <v>32720</v>
      </c>
      <c r="I36" s="6">
        <v>5191355.2</v>
      </c>
      <c r="J36" s="9">
        <v>4.1700000000000001E-2</v>
      </c>
      <c r="K36" s="9">
        <v>0</v>
      </c>
      <c r="L36" s="9">
        <v>0</v>
      </c>
      <c r="M36" s="6">
        <v>0</v>
      </c>
      <c r="N36" s="6">
        <v>-114235.2</v>
      </c>
      <c r="O36" s="9">
        <v>-2.1499999999999998E-2</v>
      </c>
      <c r="P36" s="9">
        <v>-2.1530000000000001E-2</v>
      </c>
      <c r="Q36" s="6">
        <v>0</v>
      </c>
      <c r="R36" s="9">
        <v>0</v>
      </c>
      <c r="S36" s="4" t="s">
        <v>58</v>
      </c>
    </row>
    <row r="37" spans="1:19" x14ac:dyDescent="0.2">
      <c r="A37" s="4">
        <v>767012</v>
      </c>
      <c r="B37" s="4" t="s">
        <v>57</v>
      </c>
      <c r="C37" s="14" t="s">
        <v>111</v>
      </c>
      <c r="D37" s="6">
        <v>100</v>
      </c>
      <c r="E37" s="6">
        <v>15970</v>
      </c>
      <c r="F37" s="6">
        <v>15970</v>
      </c>
      <c r="G37" s="6">
        <v>100</v>
      </c>
      <c r="H37" s="6">
        <v>16000</v>
      </c>
      <c r="I37" s="6">
        <v>16000</v>
      </c>
      <c r="J37" s="9">
        <v>1E-4</v>
      </c>
      <c r="K37" s="9">
        <v>0</v>
      </c>
      <c r="L37" s="9">
        <v>0</v>
      </c>
      <c r="M37" s="6">
        <v>0</v>
      </c>
      <c r="N37" s="6">
        <v>30</v>
      </c>
      <c r="O37" s="9">
        <v>1.9E-3</v>
      </c>
      <c r="P37" s="9">
        <v>1.8799999999999999E-3</v>
      </c>
      <c r="Q37" s="6">
        <v>0</v>
      </c>
      <c r="R37" s="9">
        <v>0</v>
      </c>
      <c r="S37" s="4" t="s">
        <v>58</v>
      </c>
    </row>
    <row r="38" spans="1:19" x14ac:dyDescent="0.2">
      <c r="A38" s="4">
        <v>810010</v>
      </c>
      <c r="B38" s="4" t="s">
        <v>57</v>
      </c>
      <c r="C38" s="14" t="s">
        <v>112</v>
      </c>
      <c r="D38" s="6">
        <v>2470</v>
      </c>
      <c r="E38" s="6">
        <v>19650</v>
      </c>
      <c r="F38" s="6">
        <v>485355</v>
      </c>
      <c r="G38" s="6">
        <v>2470</v>
      </c>
      <c r="H38" s="6">
        <v>19190</v>
      </c>
      <c r="I38" s="6">
        <v>473993</v>
      </c>
      <c r="J38" s="9">
        <v>3.8E-3</v>
      </c>
      <c r="K38" s="9">
        <v>0</v>
      </c>
      <c r="L38" s="9">
        <v>0</v>
      </c>
      <c r="M38" s="6">
        <v>0</v>
      </c>
      <c r="N38" s="6">
        <v>-11362</v>
      </c>
      <c r="O38" s="9">
        <v>-2.3400000000000001E-2</v>
      </c>
      <c r="P38" s="9">
        <v>-2.341E-2</v>
      </c>
      <c r="Q38" s="6">
        <v>0</v>
      </c>
      <c r="R38" s="9">
        <v>0</v>
      </c>
      <c r="S38" s="4" t="s">
        <v>58</v>
      </c>
    </row>
    <row r="39" spans="1:19" x14ac:dyDescent="0.2">
      <c r="A39" s="4">
        <v>823013</v>
      </c>
      <c r="B39" s="4" t="s">
        <v>57</v>
      </c>
      <c r="C39" s="14" t="s">
        <v>113</v>
      </c>
      <c r="D39" s="6">
        <v>110234</v>
      </c>
      <c r="E39" s="6">
        <v>2600</v>
      </c>
      <c r="F39" s="6">
        <v>2866084</v>
      </c>
      <c r="G39" s="6">
        <v>110234</v>
      </c>
      <c r="H39" s="6">
        <v>2550</v>
      </c>
      <c r="I39" s="6">
        <v>2810967</v>
      </c>
      <c r="J39" s="9">
        <v>2.2599999999999999E-2</v>
      </c>
      <c r="K39" s="9">
        <v>0</v>
      </c>
      <c r="L39" s="9">
        <v>0</v>
      </c>
      <c r="M39" s="6">
        <v>0</v>
      </c>
      <c r="N39" s="6">
        <v>-55117</v>
      </c>
      <c r="O39" s="9">
        <v>-1.9199999999999998E-2</v>
      </c>
      <c r="P39" s="9">
        <v>-1.9230000000000001E-2</v>
      </c>
      <c r="Q39" s="6">
        <v>0</v>
      </c>
      <c r="R39" s="9">
        <v>0</v>
      </c>
      <c r="S39" s="4" t="s">
        <v>58</v>
      </c>
    </row>
    <row r="40" spans="1:19" x14ac:dyDescent="0.2">
      <c r="A40" s="4">
        <v>829010</v>
      </c>
      <c r="B40" s="4" t="s">
        <v>57</v>
      </c>
      <c r="C40" s="14" t="s">
        <v>114</v>
      </c>
      <c r="D40" s="6">
        <v>18163</v>
      </c>
      <c r="E40" s="6">
        <v>2021</v>
      </c>
      <c r="F40" s="6">
        <v>367074.23</v>
      </c>
      <c r="G40" s="6">
        <v>18163</v>
      </c>
      <c r="H40" s="6">
        <v>1962</v>
      </c>
      <c r="I40" s="6">
        <v>356358.06</v>
      </c>
      <c r="J40" s="9">
        <v>2.8999999999999998E-3</v>
      </c>
      <c r="K40" s="9">
        <v>0</v>
      </c>
      <c r="L40" s="9">
        <v>0</v>
      </c>
      <c r="M40" s="6">
        <v>0</v>
      </c>
      <c r="N40" s="6">
        <v>-10716.17</v>
      </c>
      <c r="O40" s="9">
        <v>-2.92E-2</v>
      </c>
      <c r="P40" s="9">
        <v>-2.9190000000000001E-2</v>
      </c>
      <c r="Q40" s="6">
        <v>0</v>
      </c>
      <c r="R40" s="9">
        <v>0</v>
      </c>
      <c r="S40" s="4" t="s">
        <v>58</v>
      </c>
    </row>
    <row r="41" spans="1:19" x14ac:dyDescent="0.2">
      <c r="A41" s="4">
        <v>1080456</v>
      </c>
      <c r="B41" s="4" t="s">
        <v>57</v>
      </c>
      <c r="C41" s="14" t="s">
        <v>115</v>
      </c>
      <c r="D41" s="6">
        <v>6920</v>
      </c>
      <c r="E41" s="6">
        <v>4477</v>
      </c>
      <c r="F41" s="6">
        <v>309808.40000000002</v>
      </c>
      <c r="G41" s="6">
        <v>6920</v>
      </c>
      <c r="H41" s="6">
        <v>4498</v>
      </c>
      <c r="I41" s="6">
        <v>311261.59999999998</v>
      </c>
      <c r="J41" s="9">
        <v>2.5000000000000001E-3</v>
      </c>
      <c r="K41" s="9">
        <v>0</v>
      </c>
      <c r="L41" s="9">
        <v>0</v>
      </c>
      <c r="M41" s="6">
        <v>0</v>
      </c>
      <c r="N41" s="6">
        <v>1453.2</v>
      </c>
      <c r="O41" s="9">
        <v>4.7000000000000002E-3</v>
      </c>
      <c r="P41" s="9">
        <v>4.6899999999999997E-3</v>
      </c>
      <c r="Q41" s="6">
        <v>0</v>
      </c>
      <c r="R41" s="9">
        <v>0</v>
      </c>
      <c r="S41" s="4" t="s">
        <v>58</v>
      </c>
    </row>
    <row r="42" spans="1:19" x14ac:dyDescent="0.2">
      <c r="A42" s="4">
        <v>1081561</v>
      </c>
      <c r="B42" s="4" t="s">
        <v>57</v>
      </c>
      <c r="C42" s="14" t="s">
        <v>116</v>
      </c>
      <c r="D42" s="6">
        <v>73</v>
      </c>
      <c r="E42" s="6">
        <v>79320</v>
      </c>
      <c r="F42" s="6">
        <v>57903.6</v>
      </c>
      <c r="G42" s="6">
        <v>73</v>
      </c>
      <c r="H42" s="6">
        <v>80100</v>
      </c>
      <c r="I42" s="6">
        <v>58473</v>
      </c>
      <c r="J42" s="9">
        <v>5.0000000000000001E-4</v>
      </c>
      <c r="K42" s="9">
        <v>0</v>
      </c>
      <c r="L42" s="9">
        <v>0</v>
      </c>
      <c r="M42" s="6">
        <v>0</v>
      </c>
      <c r="N42" s="6">
        <v>569.4</v>
      </c>
      <c r="O42" s="9">
        <v>9.7999999999999997E-3</v>
      </c>
      <c r="P42" s="9">
        <v>9.8300000000000002E-3</v>
      </c>
      <c r="Q42" s="6">
        <v>0</v>
      </c>
      <c r="R42" s="9">
        <v>0</v>
      </c>
      <c r="S42" s="4" t="s">
        <v>58</v>
      </c>
    </row>
    <row r="43" spans="1:19" x14ac:dyDescent="0.2">
      <c r="A43" s="4">
        <v>1081603</v>
      </c>
      <c r="B43" s="4" t="s">
        <v>57</v>
      </c>
      <c r="C43" s="14" t="s">
        <v>117</v>
      </c>
      <c r="D43" s="6">
        <v>3104</v>
      </c>
      <c r="E43" s="6">
        <v>16730</v>
      </c>
      <c r="F43" s="6">
        <v>519299.2</v>
      </c>
      <c r="G43" s="6">
        <v>3104</v>
      </c>
      <c r="H43" s="6">
        <v>16420</v>
      </c>
      <c r="I43" s="6">
        <v>509676.79999999999</v>
      </c>
      <c r="J43" s="9">
        <v>4.1000000000000003E-3</v>
      </c>
      <c r="K43" s="9">
        <v>0</v>
      </c>
      <c r="L43" s="9">
        <v>0</v>
      </c>
      <c r="M43" s="6">
        <v>0</v>
      </c>
      <c r="N43" s="6">
        <v>-9622.4</v>
      </c>
      <c r="O43" s="9">
        <v>-1.8499999999999999E-2</v>
      </c>
      <c r="P43" s="9">
        <v>-1.8530000000000001E-2</v>
      </c>
      <c r="Q43" s="6">
        <v>0</v>
      </c>
      <c r="R43" s="9">
        <v>0</v>
      </c>
      <c r="S43" s="4" t="s">
        <v>58</v>
      </c>
    </row>
    <row r="44" spans="1:19" x14ac:dyDescent="0.2">
      <c r="A44" s="4">
        <v>1082965</v>
      </c>
      <c r="B44" s="4" t="s">
        <v>57</v>
      </c>
      <c r="C44" s="14" t="s">
        <v>118</v>
      </c>
      <c r="D44" s="6">
        <v>3506</v>
      </c>
      <c r="E44" s="6">
        <v>2221</v>
      </c>
      <c r="F44" s="6">
        <v>77868.259999999995</v>
      </c>
      <c r="G44" s="6">
        <v>3506</v>
      </c>
      <c r="H44" s="6">
        <v>2215</v>
      </c>
      <c r="I44" s="6">
        <v>77657.899999999994</v>
      </c>
      <c r="J44" s="9">
        <v>5.9999999999999995E-4</v>
      </c>
      <c r="K44" s="9">
        <v>0</v>
      </c>
      <c r="L44" s="9">
        <v>0</v>
      </c>
      <c r="M44" s="6">
        <v>0</v>
      </c>
      <c r="N44" s="6">
        <v>-210.36</v>
      </c>
      <c r="O44" s="9">
        <v>-2.7000000000000001E-3</v>
      </c>
      <c r="P44" s="9">
        <v>-2.7000000000000001E-3</v>
      </c>
      <c r="Q44" s="6">
        <v>0</v>
      </c>
      <c r="R44" s="9">
        <v>0</v>
      </c>
      <c r="S44" s="4" t="s">
        <v>58</v>
      </c>
    </row>
    <row r="45" spans="1:19" x14ac:dyDescent="0.2">
      <c r="A45" s="4">
        <v>1083377</v>
      </c>
      <c r="B45" s="4" t="s">
        <v>57</v>
      </c>
      <c r="C45" s="14" t="s">
        <v>119</v>
      </c>
      <c r="D45" s="6">
        <v>35461</v>
      </c>
      <c r="E45" s="6">
        <v>1294</v>
      </c>
      <c r="F45" s="6">
        <v>458865.34</v>
      </c>
      <c r="G45" s="6">
        <v>35461</v>
      </c>
      <c r="H45" s="6">
        <v>1325</v>
      </c>
      <c r="I45" s="6">
        <v>469858.25</v>
      </c>
      <c r="J45" s="9">
        <v>3.8E-3</v>
      </c>
      <c r="K45" s="9">
        <v>0</v>
      </c>
      <c r="L45" s="9">
        <v>0</v>
      </c>
      <c r="M45" s="6">
        <v>0</v>
      </c>
      <c r="N45" s="6">
        <v>10992.91</v>
      </c>
      <c r="O45" s="9">
        <v>2.4E-2</v>
      </c>
      <c r="P45" s="9">
        <v>2.3959999999999999E-2</v>
      </c>
      <c r="Q45" s="6">
        <v>0</v>
      </c>
      <c r="R45" s="9">
        <v>0</v>
      </c>
      <c r="S45" s="4" t="s">
        <v>58</v>
      </c>
    </row>
    <row r="46" spans="1:19" x14ac:dyDescent="0.2">
      <c r="A46" s="4">
        <v>1083831</v>
      </c>
      <c r="B46" s="4" t="s">
        <v>57</v>
      </c>
      <c r="C46" s="14" t="s">
        <v>120</v>
      </c>
      <c r="D46" s="6">
        <v>5932</v>
      </c>
      <c r="E46" s="6">
        <v>2345</v>
      </c>
      <c r="F46" s="6">
        <v>139105.4</v>
      </c>
      <c r="G46" s="6">
        <v>5932</v>
      </c>
      <c r="H46" s="6">
        <v>2347</v>
      </c>
      <c r="I46" s="6">
        <v>139224.04</v>
      </c>
      <c r="J46" s="9">
        <v>1.1000000000000001E-3</v>
      </c>
      <c r="K46" s="9">
        <v>0</v>
      </c>
      <c r="L46" s="9">
        <v>0</v>
      </c>
      <c r="M46" s="6">
        <v>0</v>
      </c>
      <c r="N46" s="6">
        <v>118.64</v>
      </c>
      <c r="O46" s="9">
        <v>8.9999999999999998E-4</v>
      </c>
      <c r="P46" s="9">
        <v>8.4999999999999995E-4</v>
      </c>
      <c r="Q46" s="6">
        <v>0</v>
      </c>
      <c r="R46" s="9">
        <v>0</v>
      </c>
      <c r="S46" s="4" t="s">
        <v>58</v>
      </c>
    </row>
    <row r="47" spans="1:19" x14ac:dyDescent="0.2">
      <c r="A47" s="4">
        <v>1083955</v>
      </c>
      <c r="B47" s="4" t="s">
        <v>57</v>
      </c>
      <c r="C47" s="14" t="s">
        <v>121</v>
      </c>
      <c r="D47" s="6">
        <v>14</v>
      </c>
      <c r="E47" s="6">
        <v>67300</v>
      </c>
      <c r="F47" s="6">
        <v>9422</v>
      </c>
      <c r="G47" s="6">
        <v>14</v>
      </c>
      <c r="H47" s="6">
        <v>68180</v>
      </c>
      <c r="I47" s="6">
        <v>9545.2000000000007</v>
      </c>
      <c r="J47" s="9">
        <v>1E-4</v>
      </c>
      <c r="K47" s="9">
        <v>0</v>
      </c>
      <c r="L47" s="9">
        <v>0</v>
      </c>
      <c r="M47" s="6">
        <v>0</v>
      </c>
      <c r="N47" s="6">
        <v>123.2</v>
      </c>
      <c r="O47" s="9">
        <v>1.3100000000000001E-2</v>
      </c>
      <c r="P47" s="9">
        <v>1.308E-2</v>
      </c>
      <c r="Q47" s="6">
        <v>0</v>
      </c>
      <c r="R47" s="9">
        <v>0</v>
      </c>
      <c r="S47" s="4" t="s">
        <v>58</v>
      </c>
    </row>
    <row r="48" spans="1:19" x14ac:dyDescent="0.2">
      <c r="A48" s="4">
        <v>1084698</v>
      </c>
      <c r="B48" s="4" t="s">
        <v>57</v>
      </c>
      <c r="C48" s="14" t="s">
        <v>122</v>
      </c>
      <c r="D48" s="6">
        <v>683</v>
      </c>
      <c r="E48" s="6">
        <v>19890</v>
      </c>
      <c r="F48" s="6">
        <v>135848.70000000001</v>
      </c>
      <c r="G48" s="6">
        <v>683</v>
      </c>
      <c r="H48" s="6">
        <v>20050</v>
      </c>
      <c r="I48" s="6">
        <v>136941.5</v>
      </c>
      <c r="J48" s="9">
        <v>1.1000000000000001E-3</v>
      </c>
      <c r="K48" s="9">
        <v>0</v>
      </c>
      <c r="L48" s="9">
        <v>0</v>
      </c>
      <c r="M48" s="6">
        <v>0</v>
      </c>
      <c r="N48" s="6">
        <v>1092.8</v>
      </c>
      <c r="O48" s="9">
        <v>8.0000000000000002E-3</v>
      </c>
      <c r="P48" s="9">
        <v>8.0400000000000003E-3</v>
      </c>
      <c r="Q48" s="6">
        <v>0</v>
      </c>
      <c r="R48" s="9">
        <v>0</v>
      </c>
      <c r="S48" s="4" t="s">
        <v>58</v>
      </c>
    </row>
    <row r="49" spans="1:19" x14ac:dyDescent="0.2">
      <c r="A49" s="4">
        <v>1084953</v>
      </c>
      <c r="B49" s="4" t="s">
        <v>57</v>
      </c>
      <c r="C49" s="14" t="s">
        <v>123</v>
      </c>
      <c r="D49" s="6">
        <v>1111</v>
      </c>
      <c r="E49" s="6">
        <v>1800</v>
      </c>
      <c r="F49" s="6">
        <v>19998</v>
      </c>
      <c r="G49" s="6">
        <v>1111</v>
      </c>
      <c r="H49" s="6">
        <v>1800</v>
      </c>
      <c r="I49" s="6">
        <v>19998</v>
      </c>
      <c r="J49" s="9">
        <v>2.0000000000000001E-4</v>
      </c>
      <c r="K49" s="9">
        <v>0</v>
      </c>
      <c r="L49" s="9">
        <v>0</v>
      </c>
      <c r="M49" s="6">
        <v>0</v>
      </c>
      <c r="N49" s="6">
        <v>0</v>
      </c>
      <c r="O49" s="9">
        <v>0</v>
      </c>
      <c r="P49" s="9">
        <v>0</v>
      </c>
      <c r="Q49" s="6">
        <v>0</v>
      </c>
      <c r="R49" s="9">
        <v>0</v>
      </c>
      <c r="S49" s="4" t="s">
        <v>58</v>
      </c>
    </row>
    <row r="50" spans="1:19" x14ac:dyDescent="0.2">
      <c r="A50" s="4">
        <v>1090117</v>
      </c>
      <c r="B50" s="4" t="s">
        <v>57</v>
      </c>
      <c r="C50" s="14" t="s">
        <v>124</v>
      </c>
      <c r="D50" s="6">
        <v>139159</v>
      </c>
      <c r="E50" s="6">
        <v>305.5</v>
      </c>
      <c r="F50" s="6">
        <v>425130.75</v>
      </c>
      <c r="G50" s="6">
        <v>139159</v>
      </c>
      <c r="H50" s="6">
        <v>312.3</v>
      </c>
      <c r="I50" s="6">
        <v>434593.56</v>
      </c>
      <c r="J50" s="9">
        <v>3.5000000000000001E-3</v>
      </c>
      <c r="K50" s="9">
        <v>0</v>
      </c>
      <c r="L50" s="9">
        <v>0</v>
      </c>
      <c r="M50" s="6">
        <v>0</v>
      </c>
      <c r="N50" s="6">
        <v>9462.8119999999999</v>
      </c>
      <c r="O50" s="9">
        <v>2.23E-2</v>
      </c>
      <c r="P50" s="9">
        <v>2.2259999999999999E-2</v>
      </c>
      <c r="Q50" s="6">
        <v>0</v>
      </c>
      <c r="R50" s="9">
        <v>0</v>
      </c>
      <c r="S50" s="4" t="s">
        <v>58</v>
      </c>
    </row>
    <row r="51" spans="1:19" x14ac:dyDescent="0.2">
      <c r="A51" s="4">
        <v>1091651</v>
      </c>
      <c r="B51" s="4" t="s">
        <v>57</v>
      </c>
      <c r="C51" s="14" t="s">
        <v>125</v>
      </c>
      <c r="D51" s="6">
        <v>1456</v>
      </c>
      <c r="E51" s="6">
        <v>4865</v>
      </c>
      <c r="F51" s="6">
        <v>70834.399999999994</v>
      </c>
      <c r="G51" s="6">
        <v>1456</v>
      </c>
      <c r="H51" s="6">
        <v>4951</v>
      </c>
      <c r="I51" s="6">
        <v>72086.559999999998</v>
      </c>
      <c r="J51" s="9">
        <v>5.9999999999999995E-4</v>
      </c>
      <c r="K51" s="9">
        <v>0</v>
      </c>
      <c r="L51" s="9">
        <v>0</v>
      </c>
      <c r="M51" s="6">
        <v>0</v>
      </c>
      <c r="N51" s="6">
        <v>1252.1600000000001</v>
      </c>
      <c r="O51" s="9">
        <v>1.77E-2</v>
      </c>
      <c r="P51" s="9">
        <v>1.7680000000000001E-2</v>
      </c>
      <c r="Q51" s="6">
        <v>0</v>
      </c>
      <c r="R51" s="9">
        <v>0</v>
      </c>
      <c r="S51" s="4" t="s">
        <v>58</v>
      </c>
    </row>
    <row r="52" spans="1:19" x14ac:dyDescent="0.2">
      <c r="A52" s="4">
        <v>1091685</v>
      </c>
      <c r="B52" s="4" t="s">
        <v>57</v>
      </c>
      <c r="C52" s="14" t="s">
        <v>126</v>
      </c>
      <c r="D52" s="6">
        <v>274944</v>
      </c>
      <c r="E52" s="6">
        <v>1405</v>
      </c>
      <c r="F52" s="6">
        <v>3862963.2</v>
      </c>
      <c r="G52" s="6">
        <v>274944</v>
      </c>
      <c r="H52" s="6">
        <v>1461</v>
      </c>
      <c r="I52" s="6">
        <v>4016931.84</v>
      </c>
      <c r="J52" s="9">
        <v>3.2300000000000002E-2</v>
      </c>
      <c r="K52" s="9">
        <v>0</v>
      </c>
      <c r="L52" s="9">
        <v>0</v>
      </c>
      <c r="M52" s="6">
        <v>0</v>
      </c>
      <c r="N52" s="6">
        <v>153968.64000000001</v>
      </c>
      <c r="O52" s="9">
        <v>3.9899999999999998E-2</v>
      </c>
      <c r="P52" s="9">
        <v>3.986E-2</v>
      </c>
      <c r="Q52" s="6">
        <v>0</v>
      </c>
      <c r="R52" s="9">
        <v>0</v>
      </c>
      <c r="S52" s="4" t="s">
        <v>58</v>
      </c>
    </row>
    <row r="53" spans="1:19" x14ac:dyDescent="0.2">
      <c r="A53" s="4">
        <v>1094986</v>
      </c>
      <c r="B53" s="4" t="s">
        <v>57</v>
      </c>
      <c r="C53" s="14" t="s">
        <v>127</v>
      </c>
      <c r="D53" s="6">
        <v>324885</v>
      </c>
      <c r="E53" s="6">
        <v>328.6</v>
      </c>
      <c r="F53" s="6">
        <v>1067572.1100000001</v>
      </c>
      <c r="G53" s="6">
        <v>324885</v>
      </c>
      <c r="H53" s="6">
        <v>329.9</v>
      </c>
      <c r="I53" s="6">
        <v>1071795.6200000001</v>
      </c>
      <c r="J53" s="9">
        <v>8.6E-3</v>
      </c>
      <c r="K53" s="9">
        <v>0</v>
      </c>
      <c r="L53" s="9">
        <v>0</v>
      </c>
      <c r="M53" s="6">
        <v>0</v>
      </c>
      <c r="N53" s="6">
        <v>4223.5050000000001</v>
      </c>
      <c r="O53" s="9">
        <v>4.0000000000000001E-3</v>
      </c>
      <c r="P53" s="9">
        <v>3.96E-3</v>
      </c>
      <c r="Q53" s="6">
        <v>0</v>
      </c>
      <c r="R53" s="9">
        <v>0</v>
      </c>
      <c r="S53" s="4" t="s">
        <v>58</v>
      </c>
    </row>
    <row r="54" spans="1:19" x14ac:dyDescent="0.2">
      <c r="A54" s="4">
        <v>1096106</v>
      </c>
      <c r="B54" s="4" t="s">
        <v>57</v>
      </c>
      <c r="C54" s="14" t="s">
        <v>128</v>
      </c>
      <c r="D54" s="6">
        <v>9254</v>
      </c>
      <c r="E54" s="6">
        <v>7100</v>
      </c>
      <c r="F54" s="6">
        <v>657034</v>
      </c>
      <c r="G54" s="6">
        <v>9254</v>
      </c>
      <c r="H54" s="6">
        <v>7033</v>
      </c>
      <c r="I54" s="6">
        <v>650833.81999999995</v>
      </c>
      <c r="J54" s="9">
        <v>5.1999999999999998E-3</v>
      </c>
      <c r="K54" s="9">
        <v>0</v>
      </c>
      <c r="L54" s="9">
        <v>0</v>
      </c>
      <c r="M54" s="6">
        <v>0</v>
      </c>
      <c r="N54" s="6">
        <v>-6200.18</v>
      </c>
      <c r="O54" s="9">
        <v>-9.4000000000000004E-3</v>
      </c>
      <c r="P54" s="9">
        <v>-9.4400000000000005E-3</v>
      </c>
      <c r="Q54" s="6">
        <v>0</v>
      </c>
      <c r="R54" s="9">
        <v>0</v>
      </c>
      <c r="S54" s="4" t="s">
        <v>58</v>
      </c>
    </row>
    <row r="55" spans="1:19" x14ac:dyDescent="0.2">
      <c r="A55" s="4">
        <v>1096148</v>
      </c>
      <c r="B55" s="4" t="s">
        <v>57</v>
      </c>
      <c r="C55" s="14" t="s">
        <v>129</v>
      </c>
      <c r="D55" s="6">
        <v>282665</v>
      </c>
      <c r="E55" s="6">
        <v>641.70000000000005</v>
      </c>
      <c r="F55" s="6">
        <v>1813861.31</v>
      </c>
      <c r="G55" s="6">
        <v>282665</v>
      </c>
      <c r="H55" s="6">
        <v>640.4</v>
      </c>
      <c r="I55" s="6">
        <v>1810186.66</v>
      </c>
      <c r="J55" s="9">
        <v>1.4500000000000001E-2</v>
      </c>
      <c r="K55" s="9">
        <v>0</v>
      </c>
      <c r="L55" s="9">
        <v>0</v>
      </c>
      <c r="M55" s="6">
        <v>0</v>
      </c>
      <c r="N55" s="6">
        <v>-3674.645</v>
      </c>
      <c r="O55" s="9">
        <v>-2E-3</v>
      </c>
      <c r="P55" s="9">
        <v>-2.0300000000000001E-3</v>
      </c>
      <c r="Q55" s="6">
        <v>0</v>
      </c>
      <c r="R55" s="9">
        <v>0</v>
      </c>
      <c r="S55" s="4" t="s">
        <v>58</v>
      </c>
    </row>
    <row r="56" spans="1:19" x14ac:dyDescent="0.2">
      <c r="A56" s="4">
        <v>1097260</v>
      </c>
      <c r="B56" s="4" t="s">
        <v>57</v>
      </c>
      <c r="C56" s="14" t="s">
        <v>130</v>
      </c>
      <c r="D56" s="6">
        <v>1099</v>
      </c>
      <c r="E56" s="6">
        <v>74730</v>
      </c>
      <c r="F56" s="6">
        <v>821282.7</v>
      </c>
      <c r="G56" s="6">
        <v>1099</v>
      </c>
      <c r="H56" s="6">
        <v>75500</v>
      </c>
      <c r="I56" s="6">
        <v>829745</v>
      </c>
      <c r="J56" s="9">
        <v>6.7000000000000002E-3</v>
      </c>
      <c r="K56" s="9">
        <v>0</v>
      </c>
      <c r="L56" s="9">
        <v>0</v>
      </c>
      <c r="M56" s="6">
        <v>0</v>
      </c>
      <c r="N56" s="6">
        <v>8462.2999999999993</v>
      </c>
      <c r="O56" s="9">
        <v>1.03E-2</v>
      </c>
      <c r="P56" s="9">
        <v>1.03E-2</v>
      </c>
      <c r="Q56" s="6">
        <v>0</v>
      </c>
      <c r="R56" s="9">
        <v>0</v>
      </c>
      <c r="S56" s="4" t="s">
        <v>58</v>
      </c>
    </row>
    <row r="57" spans="1:19" x14ac:dyDescent="0.2">
      <c r="A57" s="4">
        <v>1098565</v>
      </c>
      <c r="B57" s="4" t="s">
        <v>57</v>
      </c>
      <c r="C57" s="14" t="s">
        <v>131</v>
      </c>
      <c r="D57" s="6">
        <v>1561</v>
      </c>
      <c r="E57" s="6">
        <v>41560</v>
      </c>
      <c r="F57" s="6">
        <v>648751.6</v>
      </c>
      <c r="G57" s="6">
        <v>1561</v>
      </c>
      <c r="H57" s="6">
        <v>42140</v>
      </c>
      <c r="I57" s="6">
        <v>657805.4</v>
      </c>
      <c r="J57" s="9">
        <v>5.3E-3</v>
      </c>
      <c r="K57" s="9">
        <v>0</v>
      </c>
      <c r="L57" s="9">
        <v>0</v>
      </c>
      <c r="M57" s="6">
        <v>0</v>
      </c>
      <c r="N57" s="6">
        <v>9053.7999999999993</v>
      </c>
      <c r="O57" s="9">
        <v>1.4E-2</v>
      </c>
      <c r="P57" s="9">
        <v>1.396E-2</v>
      </c>
      <c r="Q57" s="6">
        <v>0</v>
      </c>
      <c r="R57" s="9">
        <v>0</v>
      </c>
      <c r="S57" s="4" t="s">
        <v>58</v>
      </c>
    </row>
    <row r="58" spans="1:19" x14ac:dyDescent="0.2">
      <c r="A58" s="4">
        <v>1101534</v>
      </c>
      <c r="B58" s="4" t="s">
        <v>57</v>
      </c>
      <c r="C58" s="14" t="s">
        <v>132</v>
      </c>
      <c r="D58" s="6">
        <v>460</v>
      </c>
      <c r="E58" s="6">
        <v>3655</v>
      </c>
      <c r="F58" s="6">
        <v>16813</v>
      </c>
      <c r="G58" s="6">
        <v>460</v>
      </c>
      <c r="H58" s="6">
        <v>3653</v>
      </c>
      <c r="I58" s="6">
        <v>16803.8</v>
      </c>
      <c r="J58" s="9">
        <v>1E-4</v>
      </c>
      <c r="K58" s="9">
        <v>0</v>
      </c>
      <c r="L58" s="9">
        <v>0</v>
      </c>
      <c r="M58" s="6">
        <v>0</v>
      </c>
      <c r="N58" s="6">
        <v>-9.1999999999999993</v>
      </c>
      <c r="O58" s="9">
        <v>-5.0000000000000001E-4</v>
      </c>
      <c r="P58" s="9">
        <v>-5.5000000000000003E-4</v>
      </c>
      <c r="Q58" s="6">
        <v>0</v>
      </c>
      <c r="R58" s="9">
        <v>0</v>
      </c>
      <c r="S58" s="4" t="s">
        <v>58</v>
      </c>
    </row>
    <row r="59" spans="1:19" x14ac:dyDescent="0.2">
      <c r="A59" s="4">
        <v>1102128</v>
      </c>
      <c r="B59" s="4" t="s">
        <v>57</v>
      </c>
      <c r="C59" s="14" t="s">
        <v>133</v>
      </c>
      <c r="D59" s="6">
        <v>3602</v>
      </c>
      <c r="E59" s="6">
        <v>17100</v>
      </c>
      <c r="F59" s="6">
        <v>615942</v>
      </c>
      <c r="G59" s="6">
        <v>3602</v>
      </c>
      <c r="H59" s="6">
        <v>17260</v>
      </c>
      <c r="I59" s="6">
        <v>621705.19999999995</v>
      </c>
      <c r="J59" s="9">
        <v>5.0000000000000001E-3</v>
      </c>
      <c r="K59" s="9">
        <v>0</v>
      </c>
      <c r="L59" s="9">
        <v>0</v>
      </c>
      <c r="M59" s="6">
        <v>0</v>
      </c>
      <c r="N59" s="6">
        <v>5763.2</v>
      </c>
      <c r="O59" s="9">
        <v>9.4000000000000004E-3</v>
      </c>
      <c r="P59" s="9">
        <v>9.3600000000000003E-3</v>
      </c>
      <c r="Q59" s="6">
        <v>0</v>
      </c>
      <c r="R59" s="9">
        <v>0</v>
      </c>
      <c r="S59" s="4" t="s">
        <v>58</v>
      </c>
    </row>
    <row r="60" spans="1:19" x14ac:dyDescent="0.2">
      <c r="A60" s="4">
        <v>1110915</v>
      </c>
      <c r="B60" s="4" t="s">
        <v>57</v>
      </c>
      <c r="C60" s="14" t="s">
        <v>134</v>
      </c>
      <c r="D60" s="6">
        <v>1267481.42</v>
      </c>
      <c r="E60" s="6">
        <v>154.80000000000001</v>
      </c>
      <c r="F60" s="6">
        <v>1962061.24</v>
      </c>
      <c r="G60" s="6">
        <v>1267481.42</v>
      </c>
      <c r="H60" s="6">
        <v>154.66</v>
      </c>
      <c r="I60" s="6">
        <v>1960286.76</v>
      </c>
      <c r="J60" s="9">
        <v>1.5699999999999999E-2</v>
      </c>
      <c r="K60" s="9">
        <v>0</v>
      </c>
      <c r="L60" s="9">
        <v>0</v>
      </c>
      <c r="M60" s="6">
        <v>0</v>
      </c>
      <c r="N60" s="6">
        <v>-1774.4739999999999</v>
      </c>
      <c r="O60" s="9">
        <v>-8.9999999999999998E-4</v>
      </c>
      <c r="P60" s="9">
        <v>-8.9999999999999998E-4</v>
      </c>
      <c r="Q60" s="6">
        <v>0</v>
      </c>
      <c r="R60" s="9">
        <v>0</v>
      </c>
      <c r="S60" s="4" t="s">
        <v>58</v>
      </c>
    </row>
    <row r="61" spans="1:19" x14ac:dyDescent="0.2">
      <c r="A61" s="4">
        <v>1123777</v>
      </c>
      <c r="B61" s="4" t="s">
        <v>57</v>
      </c>
      <c r="C61" s="14" t="s">
        <v>135</v>
      </c>
      <c r="D61" s="6">
        <v>40040</v>
      </c>
      <c r="E61" s="6">
        <v>5408</v>
      </c>
      <c r="F61" s="6">
        <v>2165363.2000000002</v>
      </c>
      <c r="G61" s="6">
        <v>40040</v>
      </c>
      <c r="H61" s="6">
        <v>5418</v>
      </c>
      <c r="I61" s="6">
        <v>2169367.2000000002</v>
      </c>
      <c r="J61" s="9">
        <v>1.7399999999999999E-2</v>
      </c>
      <c r="K61" s="9">
        <v>0</v>
      </c>
      <c r="L61" s="9">
        <v>0</v>
      </c>
      <c r="M61" s="6">
        <v>0</v>
      </c>
      <c r="N61" s="6">
        <v>4004</v>
      </c>
      <c r="O61" s="9">
        <v>1.8E-3</v>
      </c>
      <c r="P61" s="9">
        <v>1.8500000000000001E-3</v>
      </c>
      <c r="Q61" s="6">
        <v>0</v>
      </c>
      <c r="R61" s="9">
        <v>0</v>
      </c>
      <c r="S61" s="4" t="s">
        <v>58</v>
      </c>
    </row>
    <row r="62" spans="1:19" x14ac:dyDescent="0.2">
      <c r="A62" s="4">
        <v>1129501</v>
      </c>
      <c r="B62" s="4" t="s">
        <v>57</v>
      </c>
      <c r="C62" s="14" t="s">
        <v>136</v>
      </c>
      <c r="D62" s="6">
        <v>28</v>
      </c>
      <c r="E62" s="6">
        <v>24400</v>
      </c>
      <c r="F62" s="6">
        <v>6832</v>
      </c>
      <c r="G62" s="6">
        <v>28</v>
      </c>
      <c r="H62" s="6">
        <v>22850</v>
      </c>
      <c r="I62" s="6">
        <v>6398</v>
      </c>
      <c r="J62" s="9">
        <v>1E-4</v>
      </c>
      <c r="K62" s="9">
        <v>0</v>
      </c>
      <c r="L62" s="9">
        <v>0</v>
      </c>
      <c r="M62" s="6">
        <v>0</v>
      </c>
      <c r="N62" s="6">
        <v>-434</v>
      </c>
      <c r="O62" s="9">
        <v>-6.3500000000000001E-2</v>
      </c>
      <c r="P62" s="9">
        <v>-6.3519999999999993E-2</v>
      </c>
      <c r="Q62" s="6">
        <v>0</v>
      </c>
      <c r="R62" s="9">
        <v>0</v>
      </c>
      <c r="S62" s="4" t="s">
        <v>58</v>
      </c>
    </row>
    <row r="63" spans="1:19" x14ac:dyDescent="0.2">
      <c r="A63" s="4">
        <v>1132356</v>
      </c>
      <c r="B63" s="4" t="s">
        <v>57</v>
      </c>
      <c r="C63" s="14" t="s">
        <v>137</v>
      </c>
      <c r="D63" s="6">
        <v>3527</v>
      </c>
      <c r="E63" s="6">
        <v>1994</v>
      </c>
      <c r="F63" s="6">
        <v>70328.38</v>
      </c>
      <c r="G63" s="6">
        <v>3527</v>
      </c>
      <c r="H63" s="6">
        <v>2004</v>
      </c>
      <c r="I63" s="6">
        <v>70681.08</v>
      </c>
      <c r="J63" s="9">
        <v>5.9999999999999995E-4</v>
      </c>
      <c r="K63" s="9">
        <v>0</v>
      </c>
      <c r="L63" s="9">
        <v>0</v>
      </c>
      <c r="M63" s="6">
        <v>0</v>
      </c>
      <c r="N63" s="6">
        <v>352.7</v>
      </c>
      <c r="O63" s="9">
        <v>5.0000000000000001E-3</v>
      </c>
      <c r="P63" s="9">
        <v>5.0200000000000002E-3</v>
      </c>
      <c r="Q63" s="6">
        <v>0</v>
      </c>
      <c r="R63" s="9">
        <v>0</v>
      </c>
      <c r="S63" s="4" t="s">
        <v>58</v>
      </c>
    </row>
    <row r="64" spans="1:19" x14ac:dyDescent="0.2">
      <c r="A64" s="4">
        <v>1134881</v>
      </c>
      <c r="B64" s="4" t="s">
        <v>57</v>
      </c>
      <c r="C64" s="14" t="s">
        <v>138</v>
      </c>
      <c r="D64" s="6">
        <v>143498</v>
      </c>
      <c r="E64" s="6">
        <v>774.5</v>
      </c>
      <c r="F64" s="6">
        <v>1111392.01</v>
      </c>
      <c r="G64" s="6">
        <v>143498</v>
      </c>
      <c r="H64" s="6">
        <v>818</v>
      </c>
      <c r="I64" s="6">
        <v>1173813.6399999999</v>
      </c>
      <c r="J64" s="9">
        <v>9.4000000000000004E-3</v>
      </c>
      <c r="K64" s="9">
        <v>0</v>
      </c>
      <c r="L64" s="9">
        <v>0</v>
      </c>
      <c r="M64" s="6">
        <v>0</v>
      </c>
      <c r="N64" s="6">
        <v>62421.63</v>
      </c>
      <c r="O64" s="9">
        <v>5.62E-2</v>
      </c>
      <c r="P64" s="9">
        <v>5.6169999999999998E-2</v>
      </c>
      <c r="Q64" s="6">
        <v>0</v>
      </c>
      <c r="R64" s="9">
        <v>0</v>
      </c>
      <c r="S64" s="4" t="s">
        <v>58</v>
      </c>
    </row>
    <row r="65" spans="1:19" x14ac:dyDescent="0.2">
      <c r="A65" s="4">
        <v>1138379</v>
      </c>
      <c r="B65" s="4" t="s">
        <v>57</v>
      </c>
      <c r="C65" s="14" t="s">
        <v>139</v>
      </c>
      <c r="D65" s="6">
        <v>47672</v>
      </c>
      <c r="E65" s="6">
        <v>1940</v>
      </c>
      <c r="F65" s="6">
        <v>924836.8</v>
      </c>
      <c r="G65" s="6">
        <v>47672</v>
      </c>
      <c r="H65" s="6">
        <v>1953</v>
      </c>
      <c r="I65" s="6">
        <v>931034.16</v>
      </c>
      <c r="J65" s="9">
        <v>7.4999999999999997E-3</v>
      </c>
      <c r="K65" s="9">
        <v>0</v>
      </c>
      <c r="L65" s="9">
        <v>0</v>
      </c>
      <c r="M65" s="6">
        <v>0</v>
      </c>
      <c r="N65" s="6">
        <v>6197.36</v>
      </c>
      <c r="O65" s="9">
        <v>6.7000000000000002E-3</v>
      </c>
      <c r="P65" s="9">
        <v>6.7000000000000002E-3</v>
      </c>
      <c r="Q65" s="6">
        <v>0</v>
      </c>
      <c r="R65" s="9">
        <v>0</v>
      </c>
      <c r="S65" s="4" t="s">
        <v>58</v>
      </c>
    </row>
    <row r="66" spans="1:19" x14ac:dyDescent="0.2">
      <c r="A66" s="4">
        <v>1139898</v>
      </c>
      <c r="B66" s="4" t="s">
        <v>57</v>
      </c>
      <c r="C66" s="14" t="s">
        <v>140</v>
      </c>
      <c r="D66" s="6">
        <v>613613.29</v>
      </c>
      <c r="E66" s="6">
        <v>100.29</v>
      </c>
      <c r="F66" s="6">
        <v>615392.77</v>
      </c>
      <c r="G66" s="6">
        <v>613613.29</v>
      </c>
      <c r="H66" s="6">
        <v>101.04</v>
      </c>
      <c r="I66" s="6">
        <v>619994.87</v>
      </c>
      <c r="J66" s="9">
        <v>5.0000000000000001E-3</v>
      </c>
      <c r="K66" s="9">
        <v>0</v>
      </c>
      <c r="L66" s="9">
        <v>0</v>
      </c>
      <c r="M66" s="6">
        <v>0</v>
      </c>
      <c r="N66" s="6">
        <v>4602.0996999999998</v>
      </c>
      <c r="O66" s="9">
        <v>7.4999999999999997E-3</v>
      </c>
      <c r="P66" s="9">
        <v>7.4799999999999997E-3</v>
      </c>
      <c r="Q66" s="6">
        <v>0</v>
      </c>
      <c r="R66" s="9">
        <v>0</v>
      </c>
      <c r="S66" s="4" t="s">
        <v>58</v>
      </c>
    </row>
    <row r="67" spans="1:19" x14ac:dyDescent="0.2">
      <c r="A67" s="4">
        <v>1140102</v>
      </c>
      <c r="B67" s="4" t="s">
        <v>57</v>
      </c>
      <c r="C67" s="14" t="s">
        <v>141</v>
      </c>
      <c r="D67" s="6">
        <v>39371.74</v>
      </c>
      <c r="E67" s="6">
        <v>100.08</v>
      </c>
      <c r="F67" s="6">
        <v>39403.24</v>
      </c>
      <c r="G67" s="6">
        <v>39371.74</v>
      </c>
      <c r="H67" s="6">
        <v>100.01</v>
      </c>
      <c r="I67" s="6">
        <v>39375.68</v>
      </c>
      <c r="J67" s="9">
        <v>2.9999999999999997E-4</v>
      </c>
      <c r="K67" s="9">
        <v>0</v>
      </c>
      <c r="L67" s="9">
        <v>0</v>
      </c>
      <c r="M67" s="6">
        <v>0</v>
      </c>
      <c r="N67" s="6">
        <v>-27.560199999999998</v>
      </c>
      <c r="O67" s="9">
        <v>-6.9999999999999999E-4</v>
      </c>
      <c r="P67" s="9">
        <v>-6.9999999999999999E-4</v>
      </c>
      <c r="Q67" s="6">
        <v>0</v>
      </c>
      <c r="R67" s="9">
        <v>0</v>
      </c>
      <c r="S67" s="4" t="s">
        <v>58</v>
      </c>
    </row>
    <row r="68" spans="1:19" x14ac:dyDescent="0.2">
      <c r="A68" s="4">
        <v>1141332</v>
      </c>
      <c r="B68" s="4" t="s">
        <v>57</v>
      </c>
      <c r="C68" s="14" t="s">
        <v>142</v>
      </c>
      <c r="D68" s="6">
        <v>1865983.45</v>
      </c>
      <c r="E68" s="6">
        <v>87.02</v>
      </c>
      <c r="F68" s="6">
        <v>1623778.8</v>
      </c>
      <c r="G68" s="6">
        <v>1865983.45</v>
      </c>
      <c r="H68" s="6">
        <v>87.56</v>
      </c>
      <c r="I68" s="6">
        <v>1633855.11</v>
      </c>
      <c r="J68" s="9">
        <v>1.3100000000000001E-2</v>
      </c>
      <c r="K68" s="9">
        <v>0</v>
      </c>
      <c r="L68" s="9">
        <v>0</v>
      </c>
      <c r="M68" s="6">
        <v>0</v>
      </c>
      <c r="N68" s="6">
        <v>10076.310600000001</v>
      </c>
      <c r="O68" s="9">
        <v>6.1999999999999998E-3</v>
      </c>
      <c r="P68" s="9">
        <v>6.2100000000000002E-3</v>
      </c>
      <c r="Q68" s="6">
        <v>0</v>
      </c>
      <c r="R68" s="9">
        <v>0</v>
      </c>
      <c r="S68" s="4" t="s">
        <v>58</v>
      </c>
    </row>
    <row r="69" spans="1:19" x14ac:dyDescent="0.2">
      <c r="A69" s="4">
        <v>1141357</v>
      </c>
      <c r="B69" s="4" t="s">
        <v>57</v>
      </c>
      <c r="C69" s="14" t="s">
        <v>143</v>
      </c>
      <c r="D69" s="6">
        <v>15611</v>
      </c>
      <c r="E69" s="6">
        <v>3291</v>
      </c>
      <c r="F69" s="6">
        <v>513758.01</v>
      </c>
      <c r="G69" s="6">
        <v>15611</v>
      </c>
      <c r="H69" s="6">
        <v>3271</v>
      </c>
      <c r="I69" s="6">
        <v>510635.81</v>
      </c>
      <c r="J69" s="9">
        <v>4.1000000000000003E-3</v>
      </c>
      <c r="K69" s="9">
        <v>0</v>
      </c>
      <c r="L69" s="9">
        <v>0</v>
      </c>
      <c r="M69" s="6">
        <v>0</v>
      </c>
      <c r="N69" s="6">
        <v>-3122.2</v>
      </c>
      <c r="O69" s="9">
        <v>-6.1000000000000004E-3</v>
      </c>
      <c r="P69" s="9">
        <v>-6.0800000000000003E-3</v>
      </c>
      <c r="Q69" s="6">
        <v>0</v>
      </c>
      <c r="R69" s="9">
        <v>0</v>
      </c>
      <c r="S69" s="4" t="s">
        <v>58</v>
      </c>
    </row>
    <row r="70" spans="1:19" x14ac:dyDescent="0.2">
      <c r="A70" s="4">
        <v>1141852</v>
      </c>
      <c r="B70" s="4" t="s">
        <v>57</v>
      </c>
      <c r="C70" s="14" t="s">
        <v>144</v>
      </c>
      <c r="D70" s="6">
        <v>337979.46</v>
      </c>
      <c r="E70" s="6">
        <v>97.81</v>
      </c>
      <c r="F70" s="6">
        <v>330577.71000000002</v>
      </c>
      <c r="G70" s="6">
        <v>337979.46</v>
      </c>
      <c r="H70" s="6">
        <v>98.03</v>
      </c>
      <c r="I70" s="6">
        <v>331321.26</v>
      </c>
      <c r="J70" s="9">
        <v>2.7000000000000001E-3</v>
      </c>
      <c r="K70" s="9">
        <v>0</v>
      </c>
      <c r="L70" s="9">
        <v>0</v>
      </c>
      <c r="M70" s="6">
        <v>0</v>
      </c>
      <c r="N70" s="6">
        <v>743.5548</v>
      </c>
      <c r="O70" s="9">
        <v>2.2000000000000001E-3</v>
      </c>
      <c r="P70" s="9">
        <v>2.2499999999999998E-3</v>
      </c>
      <c r="Q70" s="6">
        <v>0</v>
      </c>
      <c r="R70" s="9">
        <v>0</v>
      </c>
      <c r="S70" s="4" t="s">
        <v>58</v>
      </c>
    </row>
    <row r="71" spans="1:19" x14ac:dyDescent="0.2">
      <c r="A71" s="4">
        <v>1143080</v>
      </c>
      <c r="B71" s="4" t="s">
        <v>57</v>
      </c>
      <c r="C71" s="14" t="s">
        <v>145</v>
      </c>
      <c r="D71" s="6">
        <v>0.1</v>
      </c>
      <c r="E71" s="6">
        <v>98.1</v>
      </c>
      <c r="F71" s="6">
        <v>0.1</v>
      </c>
      <c r="G71" s="6">
        <v>0.1</v>
      </c>
      <c r="H71" s="6">
        <v>98.04</v>
      </c>
      <c r="I71" s="6">
        <v>0.1</v>
      </c>
      <c r="J71" s="9">
        <v>0</v>
      </c>
      <c r="K71" s="9">
        <v>0</v>
      </c>
      <c r="L71" s="9">
        <v>0</v>
      </c>
      <c r="M71" s="6">
        <v>0</v>
      </c>
      <c r="N71" s="6">
        <v>-1E-4</v>
      </c>
      <c r="O71" s="9">
        <v>0</v>
      </c>
      <c r="P71" s="9">
        <v>-6.0999999999999997E-4</v>
      </c>
      <c r="Q71" s="6">
        <v>0</v>
      </c>
      <c r="R71" s="9">
        <v>0</v>
      </c>
      <c r="S71" s="4" t="s">
        <v>58</v>
      </c>
    </row>
    <row r="72" spans="1:19" x14ac:dyDescent="0.2">
      <c r="A72" s="4">
        <v>1147685</v>
      </c>
      <c r="B72" s="4" t="s">
        <v>57</v>
      </c>
      <c r="C72" s="14" t="s">
        <v>146</v>
      </c>
      <c r="D72" s="6">
        <v>19779</v>
      </c>
      <c r="E72" s="6">
        <v>1763</v>
      </c>
      <c r="F72" s="6">
        <v>348703.77</v>
      </c>
      <c r="G72" s="6">
        <v>19779</v>
      </c>
      <c r="H72" s="6">
        <v>1795</v>
      </c>
      <c r="I72" s="6">
        <v>355033.05</v>
      </c>
      <c r="J72" s="9">
        <v>2.8999999999999998E-3</v>
      </c>
      <c r="K72" s="9">
        <v>0</v>
      </c>
      <c r="L72" s="9">
        <v>0</v>
      </c>
      <c r="M72" s="6">
        <v>0</v>
      </c>
      <c r="N72" s="6">
        <v>6329.28</v>
      </c>
      <c r="O72" s="9">
        <v>1.8200000000000001E-2</v>
      </c>
      <c r="P72" s="9">
        <v>1.8149999999999999E-2</v>
      </c>
      <c r="Q72" s="6">
        <v>0</v>
      </c>
      <c r="R72" s="9">
        <v>0</v>
      </c>
      <c r="S72" s="4" t="s">
        <v>58</v>
      </c>
    </row>
    <row r="73" spans="1:19" x14ac:dyDescent="0.2">
      <c r="A73" s="4">
        <v>1156280</v>
      </c>
      <c r="B73" s="4" t="s">
        <v>57</v>
      </c>
      <c r="C73" s="14" t="s">
        <v>147</v>
      </c>
      <c r="D73" s="6">
        <v>25966</v>
      </c>
      <c r="E73" s="6">
        <v>1061</v>
      </c>
      <c r="F73" s="6">
        <v>275499.26</v>
      </c>
      <c r="G73" s="6">
        <v>25966</v>
      </c>
      <c r="H73" s="6">
        <v>1048</v>
      </c>
      <c r="I73" s="6">
        <v>272123.68</v>
      </c>
      <c r="J73" s="9">
        <v>2.2000000000000001E-3</v>
      </c>
      <c r="K73" s="9">
        <v>0</v>
      </c>
      <c r="L73" s="9">
        <v>0</v>
      </c>
      <c r="M73" s="6">
        <v>0</v>
      </c>
      <c r="N73" s="6">
        <v>-3375.58</v>
      </c>
      <c r="O73" s="9">
        <v>-1.23E-2</v>
      </c>
      <c r="P73" s="9">
        <v>-1.225E-2</v>
      </c>
      <c r="Q73" s="6">
        <v>0</v>
      </c>
      <c r="R73" s="9">
        <v>0</v>
      </c>
      <c r="S73" s="4" t="s">
        <v>58</v>
      </c>
    </row>
    <row r="74" spans="1:19" x14ac:dyDescent="0.2">
      <c r="A74" s="4">
        <v>1156397</v>
      </c>
      <c r="B74" s="4" t="s">
        <v>57</v>
      </c>
      <c r="C74" s="14" t="s">
        <v>148</v>
      </c>
      <c r="D74" s="6">
        <v>171858.73</v>
      </c>
      <c r="E74" s="6">
        <v>102.52</v>
      </c>
      <c r="F74" s="6">
        <v>176189.57</v>
      </c>
      <c r="G74" s="6">
        <v>171858.73</v>
      </c>
      <c r="H74" s="6">
        <v>102.56</v>
      </c>
      <c r="I74" s="6">
        <v>176258.31</v>
      </c>
      <c r="J74" s="9">
        <v>1.4E-3</v>
      </c>
      <c r="K74" s="9">
        <v>0</v>
      </c>
      <c r="L74" s="9">
        <v>0</v>
      </c>
      <c r="M74" s="6">
        <v>0</v>
      </c>
      <c r="N74" s="6">
        <v>68.743499999999997</v>
      </c>
      <c r="O74" s="9">
        <v>4.0000000000000002E-4</v>
      </c>
      <c r="P74" s="9">
        <v>3.8999999999999999E-4</v>
      </c>
      <c r="Q74" s="6">
        <v>0</v>
      </c>
      <c r="R74" s="9">
        <v>0</v>
      </c>
      <c r="S74" s="4" t="s">
        <v>58</v>
      </c>
    </row>
    <row r="75" spans="1:19" x14ac:dyDescent="0.2">
      <c r="A75" s="4">
        <v>1157403</v>
      </c>
      <c r="B75" s="4" t="s">
        <v>57</v>
      </c>
      <c r="C75" s="14" t="s">
        <v>149</v>
      </c>
      <c r="D75" s="6">
        <v>451</v>
      </c>
      <c r="E75" s="6">
        <v>1507</v>
      </c>
      <c r="F75" s="6">
        <v>6796.57</v>
      </c>
      <c r="G75" s="6">
        <v>451</v>
      </c>
      <c r="H75" s="6">
        <v>1491</v>
      </c>
      <c r="I75" s="6">
        <v>6724.41</v>
      </c>
      <c r="J75" s="9">
        <v>1E-4</v>
      </c>
      <c r="K75" s="9">
        <v>0</v>
      </c>
      <c r="L75" s="9">
        <v>0</v>
      </c>
      <c r="M75" s="6">
        <v>0</v>
      </c>
      <c r="N75" s="6">
        <v>-72.16</v>
      </c>
      <c r="O75" s="9">
        <v>-1.06E-2</v>
      </c>
      <c r="P75" s="9">
        <v>-1.0619999999999999E-2</v>
      </c>
      <c r="Q75" s="6">
        <v>0</v>
      </c>
      <c r="R75" s="9">
        <v>0</v>
      </c>
      <c r="S75" s="4" t="s">
        <v>58</v>
      </c>
    </row>
    <row r="76" spans="1:19" x14ac:dyDescent="0.2">
      <c r="A76" s="4">
        <v>1158161</v>
      </c>
      <c r="B76" s="4" t="s">
        <v>57</v>
      </c>
      <c r="C76" s="14" t="s">
        <v>150</v>
      </c>
      <c r="D76" s="6">
        <v>4938</v>
      </c>
      <c r="E76" s="6">
        <v>2622</v>
      </c>
      <c r="F76" s="6">
        <v>129474.36</v>
      </c>
      <c r="G76" s="6">
        <v>4938</v>
      </c>
      <c r="H76" s="6">
        <v>2630</v>
      </c>
      <c r="I76" s="6">
        <v>129869.4</v>
      </c>
      <c r="J76" s="9">
        <v>1E-3</v>
      </c>
      <c r="K76" s="9">
        <v>0</v>
      </c>
      <c r="L76" s="9">
        <v>0</v>
      </c>
      <c r="M76" s="6">
        <v>0</v>
      </c>
      <c r="N76" s="6">
        <v>395.04</v>
      </c>
      <c r="O76" s="9">
        <v>3.0999999999999999E-3</v>
      </c>
      <c r="P76" s="9">
        <v>3.0500000000000002E-3</v>
      </c>
      <c r="Q76" s="6">
        <v>0</v>
      </c>
      <c r="R76" s="9">
        <v>0</v>
      </c>
      <c r="S76" s="4" t="s">
        <v>58</v>
      </c>
    </row>
    <row r="77" spans="1:19" x14ac:dyDescent="0.2">
      <c r="A77" s="4">
        <v>1158476</v>
      </c>
      <c r="B77" s="4" t="s">
        <v>57</v>
      </c>
      <c r="C77" s="14" t="s">
        <v>151</v>
      </c>
      <c r="D77" s="6">
        <v>0.48</v>
      </c>
      <c r="E77" s="6">
        <v>107.98</v>
      </c>
      <c r="F77" s="6">
        <v>0.52</v>
      </c>
      <c r="G77" s="6">
        <v>0.48</v>
      </c>
      <c r="H77" s="6">
        <v>107.84</v>
      </c>
      <c r="I77" s="6">
        <v>0.52</v>
      </c>
      <c r="J77" s="9">
        <v>0</v>
      </c>
      <c r="K77" s="9">
        <v>0</v>
      </c>
      <c r="L77" s="9">
        <v>0</v>
      </c>
      <c r="M77" s="6">
        <v>0</v>
      </c>
      <c r="N77" s="6">
        <v>-6.9999999999999999E-4</v>
      </c>
      <c r="O77" s="9">
        <v>0</v>
      </c>
      <c r="P77" s="9">
        <v>-1.2999999999999999E-3</v>
      </c>
      <c r="Q77" s="6">
        <v>0</v>
      </c>
      <c r="R77" s="9">
        <v>0</v>
      </c>
      <c r="S77" s="4" t="s">
        <v>58</v>
      </c>
    </row>
    <row r="78" spans="1:19" x14ac:dyDescent="0.2">
      <c r="A78" s="4">
        <v>1160258</v>
      </c>
      <c r="B78" s="4" t="s">
        <v>57</v>
      </c>
      <c r="C78" s="14" t="s">
        <v>152</v>
      </c>
      <c r="D78" s="6">
        <v>417398.56</v>
      </c>
      <c r="E78" s="6">
        <v>99.48</v>
      </c>
      <c r="F78" s="6">
        <v>415228.09</v>
      </c>
      <c r="G78" s="6">
        <v>417398.56</v>
      </c>
      <c r="H78" s="6">
        <v>99.09</v>
      </c>
      <c r="I78" s="6">
        <v>413600.23</v>
      </c>
      <c r="J78" s="9">
        <v>3.3E-3</v>
      </c>
      <c r="K78" s="9">
        <v>0</v>
      </c>
      <c r="L78" s="9">
        <v>0</v>
      </c>
      <c r="M78" s="6">
        <v>0</v>
      </c>
      <c r="N78" s="6">
        <v>-1627.8543999999999</v>
      </c>
      <c r="O78" s="9">
        <v>-3.8999999999999998E-3</v>
      </c>
      <c r="P78" s="9">
        <v>-3.9199999999999999E-3</v>
      </c>
      <c r="Q78" s="6">
        <v>0</v>
      </c>
      <c r="R78" s="9">
        <v>0</v>
      </c>
      <c r="S78" s="4" t="s">
        <v>58</v>
      </c>
    </row>
    <row r="79" spans="1:19" x14ac:dyDescent="0.2">
      <c r="A79" s="4">
        <v>1160670</v>
      </c>
      <c r="B79" s="4" t="s">
        <v>57</v>
      </c>
      <c r="C79" s="14" t="s">
        <v>153</v>
      </c>
      <c r="D79" s="6">
        <v>51962.09</v>
      </c>
      <c r="E79" s="6">
        <v>115.1</v>
      </c>
      <c r="F79" s="6">
        <v>59808.37</v>
      </c>
      <c r="G79" s="6">
        <v>51962.09</v>
      </c>
      <c r="H79" s="6">
        <v>115.07</v>
      </c>
      <c r="I79" s="6">
        <v>59792.78</v>
      </c>
      <c r="J79" s="9">
        <v>5.0000000000000001E-4</v>
      </c>
      <c r="K79" s="9">
        <v>0</v>
      </c>
      <c r="L79" s="9">
        <v>0</v>
      </c>
      <c r="M79" s="6">
        <v>0</v>
      </c>
      <c r="N79" s="6">
        <v>-15.5886</v>
      </c>
      <c r="O79" s="9">
        <v>-2.9999999999999997E-4</v>
      </c>
      <c r="P79" s="9">
        <v>-2.5999999999999998E-4</v>
      </c>
      <c r="Q79" s="6">
        <v>0</v>
      </c>
      <c r="R79" s="9">
        <v>0</v>
      </c>
      <c r="S79" s="4" t="s">
        <v>58</v>
      </c>
    </row>
    <row r="80" spans="1:19" x14ac:dyDescent="0.2">
      <c r="A80" s="4">
        <v>1161264</v>
      </c>
      <c r="B80" s="4" t="s">
        <v>57</v>
      </c>
      <c r="C80" s="14" t="s">
        <v>154</v>
      </c>
      <c r="D80" s="6">
        <v>1767</v>
      </c>
      <c r="E80" s="6">
        <v>36770</v>
      </c>
      <c r="F80" s="6">
        <v>649725.9</v>
      </c>
      <c r="G80" s="6">
        <v>1767</v>
      </c>
      <c r="H80" s="6">
        <v>36110</v>
      </c>
      <c r="I80" s="6">
        <v>638063.69999999995</v>
      </c>
      <c r="J80" s="9">
        <v>5.1000000000000004E-3</v>
      </c>
      <c r="K80" s="9">
        <v>0</v>
      </c>
      <c r="L80" s="9">
        <v>0</v>
      </c>
      <c r="M80" s="6">
        <v>0</v>
      </c>
      <c r="N80" s="6">
        <v>-11662.2</v>
      </c>
      <c r="O80" s="9">
        <v>-1.7999999999999999E-2</v>
      </c>
      <c r="P80" s="9">
        <v>-1.7950000000000001E-2</v>
      </c>
      <c r="Q80" s="6">
        <v>0</v>
      </c>
      <c r="R80" s="9">
        <v>0</v>
      </c>
      <c r="S80" s="4" t="s">
        <v>58</v>
      </c>
    </row>
    <row r="81" spans="1:19" x14ac:dyDescent="0.2">
      <c r="A81" s="4">
        <v>1161348</v>
      </c>
      <c r="B81" s="4" t="s">
        <v>57</v>
      </c>
      <c r="C81" s="14" t="s">
        <v>155</v>
      </c>
      <c r="D81" s="6">
        <v>148129.37</v>
      </c>
      <c r="E81" s="6">
        <v>99.76</v>
      </c>
      <c r="F81" s="6">
        <v>147773.85999999999</v>
      </c>
      <c r="G81" s="6">
        <v>148129.37</v>
      </c>
      <c r="H81" s="6">
        <v>99.76</v>
      </c>
      <c r="I81" s="6">
        <v>147773.85999999999</v>
      </c>
      <c r="J81" s="9">
        <v>1.1999999999999999E-3</v>
      </c>
      <c r="K81" s="9">
        <v>0</v>
      </c>
      <c r="L81" s="9">
        <v>0</v>
      </c>
      <c r="M81" s="6">
        <v>0</v>
      </c>
      <c r="N81" s="6">
        <v>0</v>
      </c>
      <c r="O81" s="9">
        <v>0</v>
      </c>
      <c r="P81" s="9">
        <v>0</v>
      </c>
      <c r="Q81" s="6">
        <v>0</v>
      </c>
      <c r="R81" s="9">
        <v>0</v>
      </c>
      <c r="S81" s="4" t="s">
        <v>58</v>
      </c>
    </row>
    <row r="82" spans="1:19" x14ac:dyDescent="0.2">
      <c r="A82" s="4">
        <v>1161371</v>
      </c>
      <c r="B82" s="4" t="s">
        <v>57</v>
      </c>
      <c r="C82" s="14" t="s">
        <v>156</v>
      </c>
      <c r="D82" s="6">
        <v>249223.59</v>
      </c>
      <c r="E82" s="6">
        <v>96.02</v>
      </c>
      <c r="F82" s="6">
        <v>239304.49</v>
      </c>
      <c r="G82" s="6">
        <v>249223.59</v>
      </c>
      <c r="H82" s="6">
        <v>96.01</v>
      </c>
      <c r="I82" s="6">
        <v>239279.57</v>
      </c>
      <c r="J82" s="9">
        <v>1.9E-3</v>
      </c>
      <c r="K82" s="9">
        <v>0</v>
      </c>
      <c r="L82" s="9">
        <v>0</v>
      </c>
      <c r="M82" s="6">
        <v>0</v>
      </c>
      <c r="N82" s="6">
        <v>-24.9224</v>
      </c>
      <c r="O82" s="9">
        <v>-1E-4</v>
      </c>
      <c r="P82" s="9">
        <v>-1E-4</v>
      </c>
      <c r="Q82" s="6">
        <v>0</v>
      </c>
      <c r="R82" s="9">
        <v>0</v>
      </c>
      <c r="S82" s="4" t="s">
        <v>58</v>
      </c>
    </row>
    <row r="83" spans="1:19" x14ac:dyDescent="0.2">
      <c r="A83" s="4">
        <v>1161678</v>
      </c>
      <c r="B83" s="4" t="s">
        <v>57</v>
      </c>
      <c r="C83" s="14" t="s">
        <v>157</v>
      </c>
      <c r="D83" s="6">
        <v>178623.02</v>
      </c>
      <c r="E83" s="6">
        <v>98.89</v>
      </c>
      <c r="F83" s="6">
        <v>176640.3</v>
      </c>
      <c r="G83" s="6">
        <v>178623.02</v>
      </c>
      <c r="H83" s="6">
        <v>98.88</v>
      </c>
      <c r="I83" s="6">
        <v>176622.44</v>
      </c>
      <c r="J83" s="9">
        <v>1.4E-3</v>
      </c>
      <c r="K83" s="9">
        <v>0</v>
      </c>
      <c r="L83" s="9">
        <v>0</v>
      </c>
      <c r="M83" s="6">
        <v>0</v>
      </c>
      <c r="N83" s="6">
        <v>-17.862300000000001</v>
      </c>
      <c r="O83" s="9">
        <v>-1E-4</v>
      </c>
      <c r="P83" s="9">
        <v>-1E-4</v>
      </c>
      <c r="Q83" s="6">
        <v>0</v>
      </c>
      <c r="R83" s="9">
        <v>0</v>
      </c>
      <c r="S83" s="4" t="s">
        <v>58</v>
      </c>
    </row>
    <row r="84" spans="1:19" x14ac:dyDescent="0.2">
      <c r="A84" s="4">
        <v>1161751</v>
      </c>
      <c r="B84" s="4" t="s">
        <v>57</v>
      </c>
      <c r="C84" s="14" t="s">
        <v>158</v>
      </c>
      <c r="D84" s="6">
        <v>300602.90000000002</v>
      </c>
      <c r="E84" s="6">
        <v>94.69</v>
      </c>
      <c r="F84" s="6">
        <v>284640.89</v>
      </c>
      <c r="G84" s="6">
        <v>300602.90000000002</v>
      </c>
      <c r="H84" s="6">
        <v>94.64</v>
      </c>
      <c r="I84" s="6">
        <v>284490.58</v>
      </c>
      <c r="J84" s="9">
        <v>2.3E-3</v>
      </c>
      <c r="K84" s="9">
        <v>0</v>
      </c>
      <c r="L84" s="9">
        <v>0</v>
      </c>
      <c r="M84" s="6">
        <v>0</v>
      </c>
      <c r="N84" s="6">
        <v>-150.3015</v>
      </c>
      <c r="O84" s="9">
        <v>-5.0000000000000001E-4</v>
      </c>
      <c r="P84" s="9">
        <v>-5.2999999999999998E-4</v>
      </c>
      <c r="Q84" s="6">
        <v>0</v>
      </c>
      <c r="R84" s="9">
        <v>0</v>
      </c>
      <c r="S84" s="4" t="s">
        <v>58</v>
      </c>
    </row>
    <row r="85" spans="1:19" x14ac:dyDescent="0.2">
      <c r="A85" s="4">
        <v>1162304</v>
      </c>
      <c r="B85" s="4" t="s">
        <v>57</v>
      </c>
      <c r="C85" s="14" t="s">
        <v>159</v>
      </c>
      <c r="D85" s="6">
        <v>731185</v>
      </c>
      <c r="E85" s="6">
        <v>90.21</v>
      </c>
      <c r="F85" s="6">
        <v>659601.99</v>
      </c>
      <c r="G85" s="6">
        <v>731185</v>
      </c>
      <c r="H85" s="6">
        <v>90.92</v>
      </c>
      <c r="I85" s="6">
        <v>664793.4</v>
      </c>
      <c r="J85" s="9">
        <v>5.3E-3</v>
      </c>
      <c r="K85" s="9">
        <v>0</v>
      </c>
      <c r="L85" s="9">
        <v>0</v>
      </c>
      <c r="M85" s="6">
        <v>0</v>
      </c>
      <c r="N85" s="6">
        <v>5191.4134999999997</v>
      </c>
      <c r="O85" s="9">
        <v>7.9000000000000008E-3</v>
      </c>
      <c r="P85" s="9">
        <v>7.8700000000000003E-3</v>
      </c>
      <c r="Q85" s="6">
        <v>0</v>
      </c>
      <c r="R85" s="9">
        <v>0</v>
      </c>
      <c r="S85" s="4" t="s">
        <v>58</v>
      </c>
    </row>
    <row r="86" spans="1:19" x14ac:dyDescent="0.2">
      <c r="A86" s="4">
        <v>1166768</v>
      </c>
      <c r="B86" s="4" t="s">
        <v>57</v>
      </c>
      <c r="C86" s="14" t="s">
        <v>160</v>
      </c>
      <c r="D86" s="6">
        <v>534</v>
      </c>
      <c r="E86" s="6">
        <v>6000</v>
      </c>
      <c r="F86" s="6">
        <v>32040</v>
      </c>
      <c r="G86" s="6">
        <v>534</v>
      </c>
      <c r="H86" s="6">
        <v>6019</v>
      </c>
      <c r="I86" s="6">
        <v>32141.46</v>
      </c>
      <c r="J86" s="9">
        <v>2.9999999999999997E-4</v>
      </c>
      <c r="K86" s="9">
        <v>0</v>
      </c>
      <c r="L86" s="9">
        <v>0</v>
      </c>
      <c r="M86" s="6">
        <v>0</v>
      </c>
      <c r="N86" s="6">
        <v>101.46</v>
      </c>
      <c r="O86" s="9">
        <v>3.2000000000000002E-3</v>
      </c>
      <c r="P86" s="9">
        <v>3.1700000000000001E-3</v>
      </c>
      <c r="Q86" s="6">
        <v>0</v>
      </c>
      <c r="R86" s="9">
        <v>0</v>
      </c>
      <c r="S86" s="4" t="s">
        <v>58</v>
      </c>
    </row>
    <row r="87" spans="1:19" x14ac:dyDescent="0.2">
      <c r="A87" s="4">
        <v>1168186</v>
      </c>
      <c r="B87" s="4" t="s">
        <v>57</v>
      </c>
      <c r="C87" s="14" t="s">
        <v>161</v>
      </c>
      <c r="D87" s="6">
        <v>1232</v>
      </c>
      <c r="E87" s="6">
        <v>49500</v>
      </c>
      <c r="F87" s="6">
        <v>609840</v>
      </c>
      <c r="G87" s="6">
        <v>1232</v>
      </c>
      <c r="H87" s="6">
        <v>48900</v>
      </c>
      <c r="I87" s="6">
        <v>602448</v>
      </c>
      <c r="J87" s="9">
        <v>4.7999999999999996E-3</v>
      </c>
      <c r="K87" s="9">
        <v>0</v>
      </c>
      <c r="L87" s="9">
        <v>0</v>
      </c>
      <c r="M87" s="6">
        <v>0</v>
      </c>
      <c r="N87" s="6">
        <v>-7392</v>
      </c>
      <c r="O87" s="9">
        <v>-1.21E-2</v>
      </c>
      <c r="P87" s="9">
        <v>-1.2120000000000001E-2</v>
      </c>
      <c r="Q87" s="6">
        <v>0</v>
      </c>
      <c r="R87" s="9">
        <v>0</v>
      </c>
      <c r="S87" s="4" t="s">
        <v>58</v>
      </c>
    </row>
    <row r="88" spans="1:19" x14ac:dyDescent="0.2">
      <c r="A88" s="4">
        <v>1168517</v>
      </c>
      <c r="B88" s="4" t="s">
        <v>57</v>
      </c>
      <c r="C88" s="14" t="s">
        <v>162</v>
      </c>
      <c r="D88" s="6">
        <v>276677.28000000003</v>
      </c>
      <c r="E88" s="6">
        <v>97.65</v>
      </c>
      <c r="F88" s="6">
        <v>270175.35999999999</v>
      </c>
      <c r="G88" s="6">
        <v>276677.28000000003</v>
      </c>
      <c r="H88" s="6">
        <v>97.61</v>
      </c>
      <c r="I88" s="6">
        <v>270064.69</v>
      </c>
      <c r="J88" s="9">
        <v>2.2000000000000001E-3</v>
      </c>
      <c r="K88" s="9">
        <v>0</v>
      </c>
      <c r="L88" s="9">
        <v>0</v>
      </c>
      <c r="M88" s="6">
        <v>0</v>
      </c>
      <c r="N88" s="6">
        <v>-110.6709</v>
      </c>
      <c r="O88" s="9">
        <v>-4.0000000000000002E-4</v>
      </c>
      <c r="P88" s="9">
        <v>-4.0999999999999999E-4</v>
      </c>
      <c r="Q88" s="6">
        <v>0</v>
      </c>
      <c r="R88" s="9">
        <v>0</v>
      </c>
      <c r="S88" s="4" t="s">
        <v>58</v>
      </c>
    </row>
    <row r="89" spans="1:19" x14ac:dyDescent="0.2">
      <c r="A89" s="4">
        <v>1170893</v>
      </c>
      <c r="B89" s="4" t="s">
        <v>57</v>
      </c>
      <c r="C89" s="14" t="s">
        <v>163</v>
      </c>
      <c r="D89" s="6">
        <v>127255</v>
      </c>
      <c r="E89" s="6">
        <v>2507</v>
      </c>
      <c r="F89" s="6">
        <v>3190282.85</v>
      </c>
      <c r="G89" s="6">
        <v>127255</v>
      </c>
      <c r="H89" s="6">
        <v>2600</v>
      </c>
      <c r="I89" s="6">
        <v>3308630</v>
      </c>
      <c r="J89" s="9">
        <v>2.6599999999999999E-2</v>
      </c>
      <c r="K89" s="9">
        <v>0</v>
      </c>
      <c r="L89" s="9">
        <v>0</v>
      </c>
      <c r="M89" s="6">
        <v>0</v>
      </c>
      <c r="N89" s="6">
        <v>118347.15</v>
      </c>
      <c r="O89" s="9">
        <v>3.7100000000000001E-2</v>
      </c>
      <c r="P89" s="9">
        <v>3.7100000000000001E-2</v>
      </c>
      <c r="Q89" s="6">
        <v>0</v>
      </c>
      <c r="R89" s="9">
        <v>0</v>
      </c>
      <c r="S89" s="4" t="s">
        <v>58</v>
      </c>
    </row>
    <row r="90" spans="1:19" x14ac:dyDescent="0.2">
      <c r="A90" s="4">
        <v>1171669</v>
      </c>
      <c r="B90" s="4" t="s">
        <v>57</v>
      </c>
      <c r="C90" s="14" t="s">
        <v>164</v>
      </c>
      <c r="D90" s="6">
        <v>171363</v>
      </c>
      <c r="E90" s="6">
        <v>776.1</v>
      </c>
      <c r="F90" s="6">
        <v>1329948.24</v>
      </c>
      <c r="G90" s="6">
        <v>171363</v>
      </c>
      <c r="H90" s="6">
        <v>775.7</v>
      </c>
      <c r="I90" s="6">
        <v>1329262.79</v>
      </c>
      <c r="J90" s="9">
        <v>1.0699999999999999E-2</v>
      </c>
      <c r="K90" s="9">
        <v>0</v>
      </c>
      <c r="L90" s="9">
        <v>0</v>
      </c>
      <c r="M90" s="6">
        <v>0</v>
      </c>
      <c r="N90" s="6">
        <v>-685.452</v>
      </c>
      <c r="O90" s="9">
        <v>-5.0000000000000001E-4</v>
      </c>
      <c r="P90" s="9">
        <v>-5.1999999999999995E-4</v>
      </c>
      <c r="Q90" s="6">
        <v>0</v>
      </c>
      <c r="R90" s="9">
        <v>0</v>
      </c>
      <c r="S90" s="4" t="s">
        <v>58</v>
      </c>
    </row>
    <row r="91" spans="1:19" x14ac:dyDescent="0.2">
      <c r="A91" s="4">
        <v>1172287</v>
      </c>
      <c r="B91" s="4" t="s">
        <v>57</v>
      </c>
      <c r="C91" s="14" t="s">
        <v>165</v>
      </c>
      <c r="D91" s="6">
        <v>333</v>
      </c>
      <c r="E91" s="6">
        <v>6680</v>
      </c>
      <c r="F91" s="6">
        <v>22244.400000000001</v>
      </c>
      <c r="G91" s="6">
        <v>333</v>
      </c>
      <c r="H91" s="6">
        <v>6706</v>
      </c>
      <c r="I91" s="6">
        <v>22330.98</v>
      </c>
      <c r="J91" s="9">
        <v>2.0000000000000001E-4</v>
      </c>
      <c r="K91" s="9">
        <v>0</v>
      </c>
      <c r="L91" s="9">
        <v>0</v>
      </c>
      <c r="M91" s="6">
        <v>0</v>
      </c>
      <c r="N91" s="6">
        <v>86.58</v>
      </c>
      <c r="O91" s="9">
        <v>3.8999999999999998E-3</v>
      </c>
      <c r="P91" s="9">
        <v>3.8899999999999998E-3</v>
      </c>
      <c r="Q91" s="6">
        <v>0</v>
      </c>
      <c r="R91" s="9">
        <v>0</v>
      </c>
      <c r="S91" s="4" t="s">
        <v>58</v>
      </c>
    </row>
    <row r="92" spans="1:19" x14ac:dyDescent="0.2">
      <c r="A92" s="4">
        <v>1173228</v>
      </c>
      <c r="B92" s="4" t="s">
        <v>57</v>
      </c>
      <c r="C92" s="14" t="s">
        <v>166</v>
      </c>
      <c r="D92" s="6">
        <v>707</v>
      </c>
      <c r="E92" s="6">
        <v>1744</v>
      </c>
      <c r="F92" s="6">
        <v>12330.08</v>
      </c>
      <c r="G92" s="6">
        <v>707</v>
      </c>
      <c r="H92" s="6">
        <v>1829</v>
      </c>
      <c r="I92" s="6">
        <v>12931.03</v>
      </c>
      <c r="J92" s="9">
        <v>1E-4</v>
      </c>
      <c r="K92" s="9">
        <v>0</v>
      </c>
      <c r="L92" s="9">
        <v>0</v>
      </c>
      <c r="M92" s="6">
        <v>0</v>
      </c>
      <c r="N92" s="6">
        <v>600.95000000000005</v>
      </c>
      <c r="O92" s="9">
        <v>4.87E-2</v>
      </c>
      <c r="P92" s="9">
        <v>4.8739999999999999E-2</v>
      </c>
      <c r="Q92" s="6">
        <v>0</v>
      </c>
      <c r="R92" s="9">
        <v>0</v>
      </c>
      <c r="S92" s="4" t="s">
        <v>58</v>
      </c>
    </row>
    <row r="93" spans="1:19" x14ac:dyDescent="0.2">
      <c r="A93" s="4">
        <v>1174556</v>
      </c>
      <c r="B93" s="4" t="s">
        <v>57</v>
      </c>
      <c r="C93" s="14" t="s">
        <v>167</v>
      </c>
      <c r="D93" s="6">
        <v>317726</v>
      </c>
      <c r="E93" s="6">
        <v>108.7</v>
      </c>
      <c r="F93" s="6">
        <v>345368.16</v>
      </c>
      <c r="G93" s="6">
        <v>317726</v>
      </c>
      <c r="H93" s="6">
        <v>108.66</v>
      </c>
      <c r="I93" s="6">
        <v>345241.07</v>
      </c>
      <c r="J93" s="9">
        <v>2.8E-3</v>
      </c>
      <c r="K93" s="9">
        <v>0</v>
      </c>
      <c r="L93" s="9">
        <v>0</v>
      </c>
      <c r="M93" s="6">
        <v>0</v>
      </c>
      <c r="N93" s="6">
        <v>-127.0904</v>
      </c>
      <c r="O93" s="9">
        <v>-4.0000000000000002E-4</v>
      </c>
      <c r="P93" s="9">
        <v>-3.6999999999999999E-4</v>
      </c>
      <c r="Q93" s="6">
        <v>0</v>
      </c>
      <c r="R93" s="9">
        <v>0</v>
      </c>
      <c r="S93" s="4" t="s">
        <v>58</v>
      </c>
    </row>
    <row r="94" spans="1:19" x14ac:dyDescent="0.2">
      <c r="A94" s="4">
        <v>1175496</v>
      </c>
      <c r="B94" s="4" t="s">
        <v>57</v>
      </c>
      <c r="C94" s="14" t="s">
        <v>168</v>
      </c>
      <c r="D94" s="6">
        <v>62260</v>
      </c>
      <c r="E94" s="6">
        <v>1438</v>
      </c>
      <c r="F94" s="6">
        <v>895298.8</v>
      </c>
      <c r="G94" s="6">
        <v>62260</v>
      </c>
      <c r="H94" s="6">
        <v>1439</v>
      </c>
      <c r="I94" s="6">
        <v>895921.4</v>
      </c>
      <c r="J94" s="9">
        <v>7.1999999999999998E-3</v>
      </c>
      <c r="K94" s="9">
        <v>0</v>
      </c>
      <c r="L94" s="9">
        <v>0</v>
      </c>
      <c r="M94" s="6">
        <v>0</v>
      </c>
      <c r="N94" s="6">
        <v>622.6</v>
      </c>
      <c r="O94" s="9">
        <v>6.9999999999999999E-4</v>
      </c>
      <c r="P94" s="9">
        <v>6.9999999999999999E-4</v>
      </c>
      <c r="Q94" s="6">
        <v>0</v>
      </c>
      <c r="R94" s="9">
        <v>0</v>
      </c>
      <c r="S94" s="4" t="s">
        <v>58</v>
      </c>
    </row>
    <row r="95" spans="1:19" x14ac:dyDescent="0.2">
      <c r="A95" s="4">
        <v>1176981</v>
      </c>
      <c r="B95" s="4" t="s">
        <v>57</v>
      </c>
      <c r="C95" s="14" t="s">
        <v>169</v>
      </c>
      <c r="D95" s="6">
        <v>188232</v>
      </c>
      <c r="E95" s="6">
        <v>1654</v>
      </c>
      <c r="F95" s="6">
        <v>3113357.28</v>
      </c>
      <c r="G95" s="6">
        <v>188232</v>
      </c>
      <c r="H95" s="6">
        <v>1700</v>
      </c>
      <c r="I95" s="6">
        <v>3199944</v>
      </c>
      <c r="J95" s="9">
        <v>2.5700000000000001E-2</v>
      </c>
      <c r="K95" s="9">
        <v>0</v>
      </c>
      <c r="L95" s="9">
        <v>0</v>
      </c>
      <c r="M95" s="6">
        <v>0</v>
      </c>
      <c r="N95" s="6">
        <v>86586.72</v>
      </c>
      <c r="O95" s="9">
        <v>2.7799999999999998E-2</v>
      </c>
      <c r="P95" s="9">
        <v>2.7810000000000001E-2</v>
      </c>
      <c r="Q95" s="6">
        <v>0</v>
      </c>
      <c r="R95" s="9">
        <v>0</v>
      </c>
      <c r="S95" s="4" t="s">
        <v>58</v>
      </c>
    </row>
    <row r="96" spans="1:19" x14ac:dyDescent="0.2">
      <c r="A96" s="4">
        <v>1177658</v>
      </c>
      <c r="B96" s="4" t="s">
        <v>57</v>
      </c>
      <c r="C96" s="14" t="s">
        <v>170</v>
      </c>
      <c r="D96" s="6">
        <v>210472.2</v>
      </c>
      <c r="E96" s="6">
        <v>110.03</v>
      </c>
      <c r="F96" s="6">
        <v>231582.56</v>
      </c>
      <c r="G96" s="6">
        <v>210472.2</v>
      </c>
      <c r="H96" s="6">
        <v>110.23</v>
      </c>
      <c r="I96" s="6">
        <v>232003.51</v>
      </c>
      <c r="J96" s="9">
        <v>1.9E-3</v>
      </c>
      <c r="K96" s="9">
        <v>0</v>
      </c>
      <c r="L96" s="9">
        <v>0</v>
      </c>
      <c r="M96" s="6">
        <v>0</v>
      </c>
      <c r="N96" s="6">
        <v>420.94439999999997</v>
      </c>
      <c r="O96" s="9">
        <v>1.8E-3</v>
      </c>
      <c r="P96" s="9">
        <v>1.82E-3</v>
      </c>
      <c r="Q96" s="6">
        <v>0</v>
      </c>
      <c r="R96" s="9">
        <v>0</v>
      </c>
      <c r="S96" s="4" t="s">
        <v>58</v>
      </c>
    </row>
    <row r="97" spans="1:19" x14ac:dyDescent="0.2">
      <c r="A97" s="4">
        <v>1178144</v>
      </c>
      <c r="B97" s="4" t="s">
        <v>57</v>
      </c>
      <c r="C97" s="14" t="s">
        <v>171</v>
      </c>
      <c r="D97" s="6">
        <v>434875.84</v>
      </c>
      <c r="E97" s="6">
        <v>97</v>
      </c>
      <c r="F97" s="6">
        <v>421829.56</v>
      </c>
      <c r="G97" s="6">
        <v>434875.84</v>
      </c>
      <c r="H97" s="6">
        <v>97</v>
      </c>
      <c r="I97" s="6">
        <v>421829.56</v>
      </c>
      <c r="J97" s="9">
        <v>3.3999999999999998E-3</v>
      </c>
      <c r="K97" s="9">
        <v>0</v>
      </c>
      <c r="L97" s="9">
        <v>0</v>
      </c>
      <c r="M97" s="6">
        <v>0</v>
      </c>
      <c r="N97" s="6">
        <v>0</v>
      </c>
      <c r="O97" s="9">
        <v>0</v>
      </c>
      <c r="P97" s="9">
        <v>0</v>
      </c>
      <c r="Q97" s="6">
        <v>0</v>
      </c>
      <c r="R97" s="9">
        <v>0</v>
      </c>
      <c r="S97" s="4" t="s">
        <v>58</v>
      </c>
    </row>
    <row r="98" spans="1:19" x14ac:dyDescent="0.2">
      <c r="A98" s="4">
        <v>1178235</v>
      </c>
      <c r="B98" s="4" t="s">
        <v>57</v>
      </c>
      <c r="C98" s="14" t="s">
        <v>172</v>
      </c>
      <c r="D98" s="6">
        <v>150455.79999999999</v>
      </c>
      <c r="E98" s="6">
        <v>95.45</v>
      </c>
      <c r="F98" s="6">
        <v>143610.06</v>
      </c>
      <c r="G98" s="6">
        <v>150455.79999999999</v>
      </c>
      <c r="H98" s="6">
        <v>95.43</v>
      </c>
      <c r="I98" s="6">
        <v>143579.97</v>
      </c>
      <c r="J98" s="9">
        <v>1.1999999999999999E-3</v>
      </c>
      <c r="K98" s="9">
        <v>0</v>
      </c>
      <c r="L98" s="9">
        <v>0</v>
      </c>
      <c r="M98" s="6">
        <v>0</v>
      </c>
      <c r="N98" s="6">
        <v>-30.091200000000001</v>
      </c>
      <c r="O98" s="9">
        <v>-2.0000000000000001E-4</v>
      </c>
      <c r="P98" s="9">
        <v>-2.1000000000000001E-4</v>
      </c>
      <c r="Q98" s="6">
        <v>0</v>
      </c>
      <c r="R98" s="9">
        <v>0</v>
      </c>
      <c r="S98" s="4" t="s">
        <v>58</v>
      </c>
    </row>
    <row r="99" spans="1:19" x14ac:dyDescent="0.2">
      <c r="A99" s="4">
        <v>1178250</v>
      </c>
      <c r="B99" s="4" t="s">
        <v>57</v>
      </c>
      <c r="C99" s="14" t="s">
        <v>173</v>
      </c>
      <c r="D99" s="6">
        <v>80712</v>
      </c>
      <c r="E99" s="6">
        <v>91.43</v>
      </c>
      <c r="F99" s="6">
        <v>73794.98</v>
      </c>
      <c r="G99" s="6">
        <v>80712</v>
      </c>
      <c r="H99" s="6">
        <v>91.81</v>
      </c>
      <c r="I99" s="6">
        <v>74101.69</v>
      </c>
      <c r="J99" s="9">
        <v>5.9999999999999995E-4</v>
      </c>
      <c r="K99" s="9">
        <v>0</v>
      </c>
      <c r="L99" s="9">
        <v>0</v>
      </c>
      <c r="M99" s="6">
        <v>0</v>
      </c>
      <c r="N99" s="6">
        <v>306.7056</v>
      </c>
      <c r="O99" s="9">
        <v>4.1999999999999997E-3</v>
      </c>
      <c r="P99" s="9">
        <v>4.1599999999999996E-3</v>
      </c>
      <c r="Q99" s="6">
        <v>0</v>
      </c>
      <c r="R99" s="9">
        <v>0</v>
      </c>
      <c r="S99" s="4" t="s">
        <v>58</v>
      </c>
    </row>
    <row r="100" spans="1:19" x14ac:dyDescent="0.2">
      <c r="A100" s="4">
        <v>1178268</v>
      </c>
      <c r="B100" s="4" t="s">
        <v>57</v>
      </c>
      <c r="C100" s="14" t="s">
        <v>174</v>
      </c>
      <c r="D100" s="6">
        <v>91489</v>
      </c>
      <c r="E100" s="6">
        <v>89.57</v>
      </c>
      <c r="F100" s="6">
        <v>81946.7</v>
      </c>
      <c r="G100" s="6">
        <v>91489</v>
      </c>
      <c r="H100" s="6">
        <v>89.62</v>
      </c>
      <c r="I100" s="6">
        <v>81992.44</v>
      </c>
      <c r="J100" s="9">
        <v>6.9999999999999999E-4</v>
      </c>
      <c r="K100" s="9">
        <v>0</v>
      </c>
      <c r="L100" s="9">
        <v>0</v>
      </c>
      <c r="M100" s="6">
        <v>0</v>
      </c>
      <c r="N100" s="6">
        <v>45.744500000000002</v>
      </c>
      <c r="O100" s="9">
        <v>5.9999999999999995E-4</v>
      </c>
      <c r="P100" s="9">
        <v>5.5999999999999995E-4</v>
      </c>
      <c r="Q100" s="6">
        <v>0</v>
      </c>
      <c r="R100" s="9">
        <v>0</v>
      </c>
      <c r="S100" s="4" t="s">
        <v>58</v>
      </c>
    </row>
    <row r="101" spans="1:19" x14ac:dyDescent="0.2">
      <c r="A101" s="4">
        <v>1178284</v>
      </c>
      <c r="B101" s="4" t="s">
        <v>57</v>
      </c>
      <c r="C101" s="14" t="s">
        <v>175</v>
      </c>
      <c r="D101" s="6">
        <v>64387</v>
      </c>
      <c r="E101" s="6">
        <v>293.89999999999998</v>
      </c>
      <c r="F101" s="6">
        <v>189233.39</v>
      </c>
      <c r="G101" s="6">
        <v>64387</v>
      </c>
      <c r="H101" s="6">
        <v>293.89999999999998</v>
      </c>
      <c r="I101" s="6">
        <v>189233.39</v>
      </c>
      <c r="J101" s="9">
        <v>1.5E-3</v>
      </c>
      <c r="K101" s="9">
        <v>0</v>
      </c>
      <c r="L101" s="9">
        <v>0</v>
      </c>
      <c r="M101" s="6">
        <v>0</v>
      </c>
      <c r="N101" s="6">
        <v>0</v>
      </c>
      <c r="O101" s="9">
        <v>0</v>
      </c>
      <c r="P101" s="9">
        <v>0</v>
      </c>
      <c r="Q101" s="6">
        <v>0</v>
      </c>
      <c r="R101" s="9">
        <v>0</v>
      </c>
      <c r="S101" s="4" t="s">
        <v>58</v>
      </c>
    </row>
    <row r="102" spans="1:19" x14ac:dyDescent="0.2">
      <c r="A102" s="4">
        <v>1178714</v>
      </c>
      <c r="B102" s="4" t="s">
        <v>57</v>
      </c>
      <c r="C102" s="14" t="s">
        <v>176</v>
      </c>
      <c r="D102" s="6">
        <v>20111</v>
      </c>
      <c r="E102" s="6">
        <v>694.4</v>
      </c>
      <c r="F102" s="6">
        <v>139650.78</v>
      </c>
      <c r="G102" s="6">
        <v>20111</v>
      </c>
      <c r="H102" s="6">
        <v>730.9</v>
      </c>
      <c r="I102" s="6">
        <v>146991.29999999999</v>
      </c>
      <c r="J102" s="9">
        <v>1.1999999999999999E-3</v>
      </c>
      <c r="K102" s="9">
        <v>0</v>
      </c>
      <c r="L102" s="9">
        <v>0</v>
      </c>
      <c r="M102" s="6">
        <v>0</v>
      </c>
      <c r="N102" s="6">
        <v>7340.5150000000003</v>
      </c>
      <c r="O102" s="9">
        <v>5.2600000000000001E-2</v>
      </c>
      <c r="P102" s="9">
        <v>5.2560000000000003E-2</v>
      </c>
      <c r="Q102" s="6">
        <v>0</v>
      </c>
      <c r="R102" s="9">
        <v>0</v>
      </c>
      <c r="S102" s="4" t="s">
        <v>58</v>
      </c>
    </row>
    <row r="103" spans="1:19" x14ac:dyDescent="0.2">
      <c r="A103" s="4">
        <v>1179134</v>
      </c>
      <c r="B103" s="4" t="s">
        <v>57</v>
      </c>
      <c r="C103" s="14" t="s">
        <v>177</v>
      </c>
      <c r="D103" s="6">
        <v>387595.59</v>
      </c>
      <c r="E103" s="6">
        <v>113.35</v>
      </c>
      <c r="F103" s="6">
        <v>439339.6</v>
      </c>
      <c r="G103" s="6">
        <v>387595.59</v>
      </c>
      <c r="H103" s="6">
        <v>113.35</v>
      </c>
      <c r="I103" s="6">
        <v>439339.6</v>
      </c>
      <c r="J103" s="9">
        <v>3.5000000000000001E-3</v>
      </c>
      <c r="K103" s="9">
        <v>0</v>
      </c>
      <c r="L103" s="9">
        <v>0</v>
      </c>
      <c r="M103" s="6">
        <v>0</v>
      </c>
      <c r="N103" s="6">
        <v>0</v>
      </c>
      <c r="O103" s="9">
        <v>0</v>
      </c>
      <c r="P103" s="9">
        <v>0</v>
      </c>
      <c r="Q103" s="6">
        <v>0</v>
      </c>
      <c r="R103" s="9">
        <v>0</v>
      </c>
      <c r="S103" s="4" t="s">
        <v>58</v>
      </c>
    </row>
    <row r="104" spans="1:19" x14ac:dyDescent="0.2">
      <c r="A104" s="4">
        <v>1179340</v>
      </c>
      <c r="B104" s="4" t="s">
        <v>57</v>
      </c>
      <c r="C104" s="14" t="s">
        <v>178</v>
      </c>
      <c r="D104" s="6">
        <v>395314.49</v>
      </c>
      <c r="E104" s="6">
        <v>112.12</v>
      </c>
      <c r="F104" s="6">
        <v>443226.61</v>
      </c>
      <c r="G104" s="6">
        <v>395314.49</v>
      </c>
      <c r="H104" s="6">
        <v>112.25</v>
      </c>
      <c r="I104" s="6">
        <v>443740.52</v>
      </c>
      <c r="J104" s="9">
        <v>3.5999999999999999E-3</v>
      </c>
      <c r="K104" s="9">
        <v>0</v>
      </c>
      <c r="L104" s="9">
        <v>0</v>
      </c>
      <c r="M104" s="6">
        <v>0</v>
      </c>
      <c r="N104" s="6">
        <v>513.90880000000004</v>
      </c>
      <c r="O104" s="9">
        <v>1.1999999999999999E-3</v>
      </c>
      <c r="P104" s="9">
        <v>1.16E-3</v>
      </c>
      <c r="Q104" s="6">
        <v>0</v>
      </c>
      <c r="R104" s="9">
        <v>0</v>
      </c>
      <c r="S104" s="4" t="s">
        <v>58</v>
      </c>
    </row>
    <row r="105" spans="1:19" x14ac:dyDescent="0.2">
      <c r="A105" s="4">
        <v>1180355</v>
      </c>
      <c r="B105" s="4" t="s">
        <v>57</v>
      </c>
      <c r="C105" s="14" t="s">
        <v>179</v>
      </c>
      <c r="D105" s="6">
        <v>288599.25</v>
      </c>
      <c r="E105" s="6">
        <v>95.3</v>
      </c>
      <c r="F105" s="6">
        <v>275035.09000000003</v>
      </c>
      <c r="G105" s="6">
        <v>288599.25</v>
      </c>
      <c r="H105" s="6">
        <v>95.21</v>
      </c>
      <c r="I105" s="6">
        <v>274775.34999999998</v>
      </c>
      <c r="J105" s="9">
        <v>2.2000000000000001E-3</v>
      </c>
      <c r="K105" s="9">
        <v>0</v>
      </c>
      <c r="L105" s="9">
        <v>0</v>
      </c>
      <c r="M105" s="6">
        <v>0</v>
      </c>
      <c r="N105" s="6">
        <v>-259.73930000000001</v>
      </c>
      <c r="O105" s="9">
        <v>-8.9999999999999998E-4</v>
      </c>
      <c r="P105" s="9">
        <v>-9.3999999999999997E-4</v>
      </c>
      <c r="Q105" s="6">
        <v>0</v>
      </c>
      <c r="R105" s="9">
        <v>0</v>
      </c>
      <c r="S105" s="4" t="s">
        <v>58</v>
      </c>
    </row>
    <row r="106" spans="1:19" x14ac:dyDescent="0.2">
      <c r="A106" s="4">
        <v>1181676</v>
      </c>
      <c r="B106" s="4" t="s">
        <v>57</v>
      </c>
      <c r="C106" s="14" t="s">
        <v>180</v>
      </c>
      <c r="D106" s="6">
        <v>96623.4</v>
      </c>
      <c r="E106" s="6">
        <v>100.3</v>
      </c>
      <c r="F106" s="6">
        <v>96913.27</v>
      </c>
      <c r="G106" s="6">
        <v>96623.4</v>
      </c>
      <c r="H106" s="6">
        <v>100.3</v>
      </c>
      <c r="I106" s="6">
        <v>96913.27</v>
      </c>
      <c r="J106" s="9">
        <v>8.0000000000000004E-4</v>
      </c>
      <c r="K106" s="9">
        <v>0</v>
      </c>
      <c r="L106" s="9">
        <v>0</v>
      </c>
      <c r="M106" s="6">
        <v>0</v>
      </c>
      <c r="N106" s="6">
        <v>0</v>
      </c>
      <c r="O106" s="9">
        <v>0</v>
      </c>
      <c r="P106" s="9">
        <v>0</v>
      </c>
      <c r="Q106" s="6">
        <v>0</v>
      </c>
      <c r="R106" s="9">
        <v>0</v>
      </c>
      <c r="S106" s="4" t="s">
        <v>58</v>
      </c>
    </row>
    <row r="107" spans="1:19" x14ac:dyDescent="0.2">
      <c r="A107" s="4">
        <v>1183037</v>
      </c>
      <c r="B107" s="4" t="s">
        <v>57</v>
      </c>
      <c r="C107" s="14" t="s">
        <v>181</v>
      </c>
      <c r="D107" s="6">
        <v>199004</v>
      </c>
      <c r="E107" s="6">
        <v>95.16</v>
      </c>
      <c r="F107" s="6">
        <v>189372.21</v>
      </c>
      <c r="G107" s="6">
        <v>199004</v>
      </c>
      <c r="H107" s="6">
        <v>95.12</v>
      </c>
      <c r="I107" s="6">
        <v>189292.6</v>
      </c>
      <c r="J107" s="9">
        <v>1.5E-3</v>
      </c>
      <c r="K107" s="9">
        <v>0</v>
      </c>
      <c r="L107" s="9">
        <v>0</v>
      </c>
      <c r="M107" s="6">
        <v>0</v>
      </c>
      <c r="N107" s="6">
        <v>-79.601600000000005</v>
      </c>
      <c r="O107" s="9">
        <v>-4.0000000000000002E-4</v>
      </c>
      <c r="P107" s="9">
        <v>-4.2000000000000002E-4</v>
      </c>
      <c r="Q107" s="6">
        <v>0</v>
      </c>
      <c r="R107" s="9">
        <v>0</v>
      </c>
      <c r="S107" s="4" t="s">
        <v>58</v>
      </c>
    </row>
    <row r="108" spans="1:19" x14ac:dyDescent="0.2">
      <c r="A108" s="4">
        <v>1183193</v>
      </c>
      <c r="B108" s="4" t="s">
        <v>57</v>
      </c>
      <c r="C108" s="14" t="s">
        <v>182</v>
      </c>
      <c r="D108" s="6">
        <v>13.75</v>
      </c>
      <c r="E108" s="6">
        <v>106.5</v>
      </c>
      <c r="F108" s="6">
        <v>14.64</v>
      </c>
      <c r="G108" s="6">
        <v>13.75</v>
      </c>
      <c r="H108" s="6">
        <v>106.01</v>
      </c>
      <c r="I108" s="6">
        <v>14.58</v>
      </c>
      <c r="J108" s="9">
        <v>0</v>
      </c>
      <c r="K108" s="9">
        <v>0</v>
      </c>
      <c r="L108" s="9">
        <v>0</v>
      </c>
      <c r="M108" s="6">
        <v>0</v>
      </c>
      <c r="N108" s="6">
        <v>-6.7400000000000002E-2</v>
      </c>
      <c r="O108" s="9">
        <v>-4.1000000000000003E-3</v>
      </c>
      <c r="P108" s="9">
        <v>-4.5999999999999999E-3</v>
      </c>
      <c r="Q108" s="6">
        <v>0</v>
      </c>
      <c r="R108" s="9">
        <v>0</v>
      </c>
      <c r="S108" s="4" t="s">
        <v>58</v>
      </c>
    </row>
    <row r="109" spans="1:19" x14ac:dyDescent="0.2">
      <c r="A109" s="4">
        <v>1183714</v>
      </c>
      <c r="B109" s="4" t="s">
        <v>57</v>
      </c>
      <c r="C109" s="14" t="s">
        <v>183</v>
      </c>
      <c r="D109" s="6">
        <v>910999.95</v>
      </c>
      <c r="E109" s="6">
        <v>98.13</v>
      </c>
      <c r="F109" s="6">
        <v>893964.25</v>
      </c>
      <c r="G109" s="6">
        <v>910999.95</v>
      </c>
      <c r="H109" s="6">
        <v>98.13</v>
      </c>
      <c r="I109" s="6">
        <v>893964.25</v>
      </c>
      <c r="J109" s="9">
        <v>7.1999999999999998E-3</v>
      </c>
      <c r="K109" s="9">
        <v>0</v>
      </c>
      <c r="L109" s="9">
        <v>0</v>
      </c>
      <c r="M109" s="6">
        <v>0</v>
      </c>
      <c r="N109" s="6">
        <v>0</v>
      </c>
      <c r="O109" s="9">
        <v>0</v>
      </c>
      <c r="P109" s="9">
        <v>0</v>
      </c>
      <c r="Q109" s="6">
        <v>0</v>
      </c>
      <c r="R109" s="9">
        <v>0</v>
      </c>
      <c r="S109" s="4" t="s">
        <v>58</v>
      </c>
    </row>
    <row r="110" spans="1:19" x14ac:dyDescent="0.2">
      <c r="A110" s="4">
        <v>1184167</v>
      </c>
      <c r="B110" s="4" t="s">
        <v>57</v>
      </c>
      <c r="C110" s="14" t="s">
        <v>184</v>
      </c>
      <c r="D110" s="6">
        <v>974438</v>
      </c>
      <c r="E110" s="6">
        <v>96.08</v>
      </c>
      <c r="F110" s="6">
        <v>936240.03</v>
      </c>
      <c r="G110" s="6">
        <v>974438</v>
      </c>
      <c r="H110" s="6">
        <v>96.08</v>
      </c>
      <c r="I110" s="6">
        <v>936240.03</v>
      </c>
      <c r="J110" s="9">
        <v>7.4999999999999997E-3</v>
      </c>
      <c r="K110" s="9">
        <v>0</v>
      </c>
      <c r="L110" s="9">
        <v>0</v>
      </c>
      <c r="M110" s="6">
        <v>0</v>
      </c>
      <c r="N110" s="6">
        <v>0</v>
      </c>
      <c r="O110" s="9">
        <v>0</v>
      </c>
      <c r="P110" s="9">
        <v>0</v>
      </c>
      <c r="Q110" s="6">
        <v>0</v>
      </c>
      <c r="R110" s="9">
        <v>0</v>
      </c>
      <c r="S110" s="4" t="s">
        <v>58</v>
      </c>
    </row>
    <row r="111" spans="1:19" x14ac:dyDescent="0.2">
      <c r="A111" s="4">
        <v>1184308</v>
      </c>
      <c r="B111" s="4" t="s">
        <v>57</v>
      </c>
      <c r="C111" s="14" t="s">
        <v>185</v>
      </c>
      <c r="D111" s="6">
        <v>871221.04</v>
      </c>
      <c r="E111" s="6">
        <v>100</v>
      </c>
      <c r="F111" s="6">
        <v>871221.04</v>
      </c>
      <c r="G111" s="6">
        <v>871221.04</v>
      </c>
      <c r="H111" s="6">
        <v>101.55</v>
      </c>
      <c r="I111" s="6">
        <v>884724.97</v>
      </c>
      <c r="J111" s="9">
        <v>7.1000000000000004E-3</v>
      </c>
      <c r="K111" s="9">
        <v>0</v>
      </c>
      <c r="L111" s="9">
        <v>0</v>
      </c>
      <c r="M111" s="6">
        <v>0</v>
      </c>
      <c r="N111" s="6">
        <v>13503.926100000001</v>
      </c>
      <c r="O111" s="9">
        <v>1.55E-2</v>
      </c>
      <c r="P111" s="9">
        <v>1.55E-2</v>
      </c>
      <c r="Q111" s="6">
        <v>0</v>
      </c>
      <c r="R111" s="9">
        <v>0</v>
      </c>
      <c r="S111" s="4" t="s">
        <v>58</v>
      </c>
    </row>
    <row r="112" spans="1:19" x14ac:dyDescent="0.2">
      <c r="A112" s="4">
        <v>1184951</v>
      </c>
      <c r="B112" s="4" t="s">
        <v>57</v>
      </c>
      <c r="C112" s="14" t="s">
        <v>186</v>
      </c>
      <c r="D112" s="6">
        <v>364534.97</v>
      </c>
      <c r="E112" s="6">
        <v>114.4</v>
      </c>
      <c r="F112" s="6">
        <v>417028.01</v>
      </c>
      <c r="G112" s="6">
        <v>364534.97</v>
      </c>
      <c r="H112" s="6">
        <v>114.26</v>
      </c>
      <c r="I112" s="6">
        <v>416517.66</v>
      </c>
      <c r="J112" s="9">
        <v>3.3E-3</v>
      </c>
      <c r="K112" s="9">
        <v>0</v>
      </c>
      <c r="L112" s="9">
        <v>0</v>
      </c>
      <c r="M112" s="6">
        <v>0</v>
      </c>
      <c r="N112" s="6">
        <v>-510.34899999999999</v>
      </c>
      <c r="O112" s="9">
        <v>-1.1999999999999999E-3</v>
      </c>
      <c r="P112" s="9">
        <v>-1.2199999999999999E-3</v>
      </c>
      <c r="Q112" s="6">
        <v>0</v>
      </c>
      <c r="R112" s="9">
        <v>0</v>
      </c>
      <c r="S112" s="4" t="s">
        <v>58</v>
      </c>
    </row>
    <row r="113" spans="1:19" x14ac:dyDescent="0.2">
      <c r="A113" s="4">
        <v>1185883</v>
      </c>
      <c r="B113" s="4" t="s">
        <v>57</v>
      </c>
      <c r="C113" s="14" t="s">
        <v>187</v>
      </c>
      <c r="D113" s="6">
        <v>242142.23</v>
      </c>
      <c r="E113" s="6">
        <v>102.7</v>
      </c>
      <c r="F113" s="6">
        <v>248680.07</v>
      </c>
      <c r="G113" s="6">
        <v>242142.23</v>
      </c>
      <c r="H113" s="6">
        <v>102.7</v>
      </c>
      <c r="I113" s="6">
        <v>248680.07</v>
      </c>
      <c r="J113" s="9">
        <v>2E-3</v>
      </c>
      <c r="K113" s="9">
        <v>0</v>
      </c>
      <c r="L113" s="9">
        <v>0</v>
      </c>
      <c r="M113" s="6">
        <v>0</v>
      </c>
      <c r="N113" s="6">
        <v>0</v>
      </c>
      <c r="O113" s="9">
        <v>0</v>
      </c>
      <c r="P113" s="9">
        <v>0</v>
      </c>
      <c r="Q113" s="6">
        <v>0</v>
      </c>
      <c r="R113" s="9">
        <v>0</v>
      </c>
      <c r="S113" s="4" t="s">
        <v>58</v>
      </c>
    </row>
    <row r="114" spans="1:19" x14ac:dyDescent="0.2">
      <c r="A114" s="4">
        <v>1186246</v>
      </c>
      <c r="B114" s="4" t="s">
        <v>57</v>
      </c>
      <c r="C114" s="14" t="s">
        <v>188</v>
      </c>
      <c r="D114" s="6">
        <v>31261.919999999998</v>
      </c>
      <c r="E114" s="6">
        <v>112.86</v>
      </c>
      <c r="F114" s="6">
        <v>35282.199999999997</v>
      </c>
      <c r="G114" s="6">
        <v>31261.919999999998</v>
      </c>
      <c r="H114" s="6">
        <v>112.81</v>
      </c>
      <c r="I114" s="6">
        <v>35266.57</v>
      </c>
      <c r="J114" s="9">
        <v>2.9999999999999997E-4</v>
      </c>
      <c r="K114" s="9">
        <v>0</v>
      </c>
      <c r="L114" s="9">
        <v>0</v>
      </c>
      <c r="M114" s="6">
        <v>0</v>
      </c>
      <c r="N114" s="6">
        <v>-15.631</v>
      </c>
      <c r="O114" s="9">
        <v>-4.0000000000000002E-4</v>
      </c>
      <c r="P114" s="9">
        <v>-4.4000000000000002E-4</v>
      </c>
      <c r="Q114" s="6">
        <v>0</v>
      </c>
      <c r="R114" s="9">
        <v>0</v>
      </c>
      <c r="S114" s="4" t="s">
        <v>58</v>
      </c>
    </row>
    <row r="115" spans="1:19" x14ac:dyDescent="0.2">
      <c r="A115" s="4">
        <v>1187194</v>
      </c>
      <c r="B115" s="4" t="s">
        <v>57</v>
      </c>
      <c r="C115" s="14" t="s">
        <v>189</v>
      </c>
      <c r="D115" s="6">
        <v>358715</v>
      </c>
      <c r="E115" s="6">
        <v>151.1</v>
      </c>
      <c r="F115" s="6">
        <v>542018.37</v>
      </c>
      <c r="G115" s="6">
        <v>358715</v>
      </c>
      <c r="H115" s="6">
        <v>148.80000000000001</v>
      </c>
      <c r="I115" s="6">
        <v>533767.92000000004</v>
      </c>
      <c r="J115" s="9">
        <v>4.3E-3</v>
      </c>
      <c r="K115" s="9">
        <v>0</v>
      </c>
      <c r="L115" s="9">
        <v>0</v>
      </c>
      <c r="M115" s="6">
        <v>0</v>
      </c>
      <c r="N115" s="6">
        <v>-8250.4449999999997</v>
      </c>
      <c r="O115" s="9">
        <v>-1.52E-2</v>
      </c>
      <c r="P115" s="9">
        <v>-1.5219999999999999E-2</v>
      </c>
      <c r="Q115" s="6">
        <v>0</v>
      </c>
      <c r="R115" s="9">
        <v>0</v>
      </c>
      <c r="S115" s="4" t="s">
        <v>58</v>
      </c>
    </row>
    <row r="116" spans="1:19" x14ac:dyDescent="0.2">
      <c r="A116" s="4">
        <v>1187277</v>
      </c>
      <c r="B116" s="4" t="s">
        <v>57</v>
      </c>
      <c r="C116" s="14" t="s">
        <v>190</v>
      </c>
      <c r="D116" s="6">
        <v>410149.24</v>
      </c>
      <c r="E116" s="6">
        <v>101.65</v>
      </c>
      <c r="F116" s="6">
        <v>416916.7</v>
      </c>
      <c r="G116" s="6">
        <v>410149.24</v>
      </c>
      <c r="H116" s="6">
        <v>101.66</v>
      </c>
      <c r="I116" s="6">
        <v>416957.72</v>
      </c>
      <c r="J116" s="9">
        <v>3.3E-3</v>
      </c>
      <c r="K116" s="9">
        <v>0</v>
      </c>
      <c r="L116" s="9">
        <v>0</v>
      </c>
      <c r="M116" s="6">
        <v>0</v>
      </c>
      <c r="N116" s="6">
        <v>41.014899999999997</v>
      </c>
      <c r="O116" s="9">
        <v>1E-4</v>
      </c>
      <c r="P116" s="9">
        <v>1E-4</v>
      </c>
      <c r="Q116" s="6">
        <v>0</v>
      </c>
      <c r="R116" s="9">
        <v>0</v>
      </c>
      <c r="S116" s="4" t="s">
        <v>58</v>
      </c>
    </row>
    <row r="117" spans="1:19" x14ac:dyDescent="0.2">
      <c r="A117" s="4">
        <v>1187418</v>
      </c>
      <c r="B117" s="4" t="s">
        <v>57</v>
      </c>
      <c r="C117" s="14" t="s">
        <v>191</v>
      </c>
      <c r="D117" s="6">
        <v>0.3</v>
      </c>
      <c r="E117" s="6">
        <v>99.24</v>
      </c>
      <c r="F117" s="6">
        <v>0.3</v>
      </c>
      <c r="G117" s="6">
        <v>0.3</v>
      </c>
      <c r="H117" s="6">
        <v>99.21</v>
      </c>
      <c r="I117" s="6">
        <v>0.3</v>
      </c>
      <c r="J117" s="9">
        <v>0</v>
      </c>
      <c r="K117" s="9">
        <v>0</v>
      </c>
      <c r="L117" s="9">
        <v>0</v>
      </c>
      <c r="M117" s="6">
        <v>0</v>
      </c>
      <c r="N117" s="6">
        <v>-1E-4</v>
      </c>
      <c r="O117" s="9">
        <v>0</v>
      </c>
      <c r="P117" s="9">
        <v>-2.9999999999999997E-4</v>
      </c>
      <c r="Q117" s="6">
        <v>0</v>
      </c>
      <c r="R117" s="9">
        <v>0</v>
      </c>
      <c r="S117" s="4" t="s">
        <v>58</v>
      </c>
    </row>
    <row r="118" spans="1:19" x14ac:dyDescent="0.2">
      <c r="A118" s="4">
        <v>1187897</v>
      </c>
      <c r="B118" s="4" t="s">
        <v>57</v>
      </c>
      <c r="C118" s="14" t="s">
        <v>192</v>
      </c>
      <c r="D118" s="6">
        <v>438466.96</v>
      </c>
      <c r="E118" s="6">
        <v>102.53</v>
      </c>
      <c r="F118" s="6">
        <v>449560.17</v>
      </c>
      <c r="G118" s="6">
        <v>438466.96</v>
      </c>
      <c r="H118" s="6">
        <v>102.09</v>
      </c>
      <c r="I118" s="6">
        <v>447630.92</v>
      </c>
      <c r="J118" s="9">
        <v>3.5999999999999999E-3</v>
      </c>
      <c r="K118" s="9">
        <v>0</v>
      </c>
      <c r="L118" s="9">
        <v>0</v>
      </c>
      <c r="M118" s="6">
        <v>0</v>
      </c>
      <c r="N118" s="6">
        <v>-1929.2546</v>
      </c>
      <c r="O118" s="9">
        <v>-4.3E-3</v>
      </c>
      <c r="P118" s="9">
        <v>-4.2900000000000004E-3</v>
      </c>
      <c r="Q118" s="6">
        <v>0</v>
      </c>
      <c r="R118" s="9">
        <v>0</v>
      </c>
      <c r="S118" s="4" t="s">
        <v>58</v>
      </c>
    </row>
    <row r="119" spans="1:19" x14ac:dyDescent="0.2">
      <c r="A119" s="4">
        <v>1188663</v>
      </c>
      <c r="B119" s="4" t="s">
        <v>57</v>
      </c>
      <c r="C119" s="14" t="s">
        <v>193</v>
      </c>
      <c r="D119" s="6">
        <v>695225.12</v>
      </c>
      <c r="E119" s="6">
        <v>97.9</v>
      </c>
      <c r="F119" s="6">
        <v>680625.39</v>
      </c>
      <c r="G119" s="6">
        <v>695225.12</v>
      </c>
      <c r="H119" s="6">
        <v>97</v>
      </c>
      <c r="I119" s="6">
        <v>674368.37</v>
      </c>
      <c r="J119" s="9">
        <v>5.4000000000000003E-3</v>
      </c>
      <c r="K119" s="9">
        <v>0</v>
      </c>
      <c r="L119" s="9">
        <v>0</v>
      </c>
      <c r="M119" s="6">
        <v>0</v>
      </c>
      <c r="N119" s="6">
        <v>-6257.0261</v>
      </c>
      <c r="O119" s="9">
        <v>-9.1999999999999998E-3</v>
      </c>
      <c r="P119" s="9">
        <v>-9.1900000000000003E-3</v>
      </c>
      <c r="Q119" s="6">
        <v>0</v>
      </c>
      <c r="R119" s="9">
        <v>0</v>
      </c>
      <c r="S119" s="4" t="s">
        <v>58</v>
      </c>
    </row>
    <row r="120" spans="1:19" x14ac:dyDescent="0.2">
      <c r="A120" s="4">
        <v>1188788</v>
      </c>
      <c r="B120" s="4" t="s">
        <v>57</v>
      </c>
      <c r="C120" s="14" t="s">
        <v>194</v>
      </c>
      <c r="D120" s="6">
        <v>2116912.9300000002</v>
      </c>
      <c r="E120" s="6">
        <v>99.1</v>
      </c>
      <c r="F120" s="6">
        <v>2097860.71</v>
      </c>
      <c r="G120" s="6">
        <v>2116912.9300000002</v>
      </c>
      <c r="H120" s="6">
        <v>99.99</v>
      </c>
      <c r="I120" s="6">
        <v>2116701.2400000002</v>
      </c>
      <c r="J120" s="9">
        <v>1.7000000000000001E-2</v>
      </c>
      <c r="K120" s="9">
        <v>0</v>
      </c>
      <c r="L120" s="9">
        <v>0</v>
      </c>
      <c r="M120" s="6">
        <v>0</v>
      </c>
      <c r="N120" s="6">
        <v>18840.525099999999</v>
      </c>
      <c r="O120" s="9">
        <v>8.9999999999999993E-3</v>
      </c>
      <c r="P120" s="9">
        <v>8.9800000000000001E-3</v>
      </c>
      <c r="Q120" s="6">
        <v>0</v>
      </c>
      <c r="R120" s="9">
        <v>0</v>
      </c>
      <c r="S120" s="4" t="s">
        <v>58</v>
      </c>
    </row>
    <row r="121" spans="1:19" x14ac:dyDescent="0.2">
      <c r="A121" s="4">
        <v>1193598</v>
      </c>
      <c r="B121" s="4" t="s">
        <v>57</v>
      </c>
      <c r="C121" s="14" t="s">
        <v>195</v>
      </c>
      <c r="D121" s="6">
        <v>1030348.28</v>
      </c>
      <c r="E121" s="6">
        <v>111.47</v>
      </c>
      <c r="F121" s="6">
        <v>1148529.23</v>
      </c>
      <c r="G121" s="6">
        <v>1030348.28</v>
      </c>
      <c r="H121" s="6">
        <v>110.96</v>
      </c>
      <c r="I121" s="6">
        <v>1143274.45</v>
      </c>
      <c r="J121" s="9">
        <v>9.1999999999999998E-3</v>
      </c>
      <c r="K121" s="9">
        <v>0</v>
      </c>
      <c r="L121" s="9">
        <v>0</v>
      </c>
      <c r="M121" s="6">
        <v>0</v>
      </c>
      <c r="N121" s="6">
        <v>-5254.7762000000002</v>
      </c>
      <c r="O121" s="9">
        <v>-4.5999999999999999E-3</v>
      </c>
      <c r="P121" s="9">
        <v>-4.5799999999999999E-3</v>
      </c>
      <c r="Q121" s="6">
        <v>0</v>
      </c>
      <c r="R121" s="9">
        <v>0</v>
      </c>
      <c r="S121" s="4" t="s">
        <v>58</v>
      </c>
    </row>
    <row r="122" spans="1:19" x14ac:dyDescent="0.2">
      <c r="A122" s="4">
        <v>1193929</v>
      </c>
      <c r="B122" s="4" t="s">
        <v>57</v>
      </c>
      <c r="C122" s="14" t="s">
        <v>196</v>
      </c>
      <c r="D122" s="6">
        <v>234542.5</v>
      </c>
      <c r="E122" s="6">
        <v>111.6</v>
      </c>
      <c r="F122" s="6">
        <v>261749.43</v>
      </c>
      <c r="G122" s="6">
        <v>234542.5</v>
      </c>
      <c r="H122" s="6">
        <v>111.42</v>
      </c>
      <c r="I122" s="6">
        <v>261327.25</v>
      </c>
      <c r="J122" s="9">
        <v>2.0999999999999999E-3</v>
      </c>
      <c r="K122" s="9">
        <v>0</v>
      </c>
      <c r="L122" s="9">
        <v>0</v>
      </c>
      <c r="M122" s="6">
        <v>0</v>
      </c>
      <c r="N122" s="6">
        <v>-422.17649999999998</v>
      </c>
      <c r="O122" s="9">
        <v>-1.6000000000000001E-3</v>
      </c>
      <c r="P122" s="9">
        <v>-1.6100000000000001E-3</v>
      </c>
      <c r="Q122" s="6">
        <v>0</v>
      </c>
      <c r="R122" s="9">
        <v>0</v>
      </c>
      <c r="S122" s="4" t="s">
        <v>58</v>
      </c>
    </row>
    <row r="123" spans="1:19" x14ac:dyDescent="0.2">
      <c r="A123" s="4">
        <v>1195569</v>
      </c>
      <c r="B123" s="4" t="s">
        <v>57</v>
      </c>
      <c r="C123" s="14" t="s">
        <v>197</v>
      </c>
      <c r="D123" s="6">
        <v>120946</v>
      </c>
      <c r="E123" s="6">
        <v>99.51</v>
      </c>
      <c r="F123" s="6">
        <v>120353.36</v>
      </c>
      <c r="G123" s="6">
        <v>120946</v>
      </c>
      <c r="H123" s="6">
        <v>99.59</v>
      </c>
      <c r="I123" s="6">
        <v>120450.12</v>
      </c>
      <c r="J123" s="9">
        <v>1E-3</v>
      </c>
      <c r="K123" s="9">
        <v>0</v>
      </c>
      <c r="L123" s="9">
        <v>0</v>
      </c>
      <c r="M123" s="6">
        <v>0</v>
      </c>
      <c r="N123" s="6">
        <v>96.756799999999998</v>
      </c>
      <c r="O123" s="9">
        <v>8.0000000000000004E-4</v>
      </c>
      <c r="P123" s="9">
        <v>8.0000000000000004E-4</v>
      </c>
      <c r="Q123" s="6">
        <v>0</v>
      </c>
      <c r="R123" s="9">
        <v>0</v>
      </c>
      <c r="S123" s="4" t="s">
        <v>58</v>
      </c>
    </row>
    <row r="124" spans="1:19" x14ac:dyDescent="0.2">
      <c r="A124" s="4">
        <v>1196542</v>
      </c>
      <c r="B124" s="4" t="s">
        <v>57</v>
      </c>
      <c r="C124" s="14" t="s">
        <v>198</v>
      </c>
      <c r="D124" s="6">
        <v>86095.79</v>
      </c>
      <c r="E124" s="6">
        <v>103.72</v>
      </c>
      <c r="F124" s="6">
        <v>89298.55</v>
      </c>
      <c r="G124" s="6">
        <v>86095.79</v>
      </c>
      <c r="H124" s="6">
        <v>103.72</v>
      </c>
      <c r="I124" s="6">
        <v>89298.55</v>
      </c>
      <c r="J124" s="9">
        <v>6.9999999999999999E-4</v>
      </c>
      <c r="K124" s="9">
        <v>0</v>
      </c>
      <c r="L124" s="9">
        <v>0</v>
      </c>
      <c r="M124" s="6">
        <v>0</v>
      </c>
      <c r="N124" s="6">
        <v>0</v>
      </c>
      <c r="O124" s="9">
        <v>0</v>
      </c>
      <c r="P124" s="9">
        <v>0</v>
      </c>
      <c r="Q124" s="6">
        <v>0</v>
      </c>
      <c r="R124" s="9">
        <v>0</v>
      </c>
      <c r="S124" s="4" t="s">
        <v>58</v>
      </c>
    </row>
    <row r="125" spans="1:19" x14ac:dyDescent="0.2">
      <c r="A125" s="4">
        <v>1196781</v>
      </c>
      <c r="B125" s="4" t="s">
        <v>57</v>
      </c>
      <c r="C125" s="14" t="s">
        <v>199</v>
      </c>
      <c r="D125" s="6">
        <v>347860</v>
      </c>
      <c r="E125" s="6">
        <v>111.77</v>
      </c>
      <c r="F125" s="6">
        <v>388803.12</v>
      </c>
      <c r="G125" s="6">
        <v>347860</v>
      </c>
      <c r="H125" s="6">
        <v>111.57</v>
      </c>
      <c r="I125" s="6">
        <v>388107.4</v>
      </c>
      <c r="J125" s="9">
        <v>3.0999999999999999E-3</v>
      </c>
      <c r="K125" s="9">
        <v>0</v>
      </c>
      <c r="L125" s="9">
        <v>0</v>
      </c>
      <c r="M125" s="6">
        <v>0</v>
      </c>
      <c r="N125" s="6">
        <v>-695.72</v>
      </c>
      <c r="O125" s="9">
        <v>-1.8E-3</v>
      </c>
      <c r="P125" s="9">
        <v>-1.7899999999999999E-3</v>
      </c>
      <c r="Q125" s="6">
        <v>0</v>
      </c>
      <c r="R125" s="9">
        <v>0</v>
      </c>
      <c r="S125" s="4" t="s">
        <v>58</v>
      </c>
    </row>
    <row r="126" spans="1:19" x14ac:dyDescent="0.2">
      <c r="A126" s="4">
        <v>1197029</v>
      </c>
      <c r="B126" s="4" t="s">
        <v>57</v>
      </c>
      <c r="C126" s="14" t="s">
        <v>200</v>
      </c>
      <c r="D126" s="6">
        <v>2397505.6800000002</v>
      </c>
      <c r="E126" s="6">
        <v>104.33</v>
      </c>
      <c r="F126" s="6">
        <v>2501317.6800000002</v>
      </c>
      <c r="G126" s="6">
        <v>2397505.6800000002</v>
      </c>
      <c r="H126" s="6">
        <v>104.33</v>
      </c>
      <c r="I126" s="6">
        <v>2501317.6800000002</v>
      </c>
      <c r="J126" s="9">
        <v>2.01E-2</v>
      </c>
      <c r="K126" s="9">
        <v>0</v>
      </c>
      <c r="L126" s="9">
        <v>0</v>
      </c>
      <c r="M126" s="6">
        <v>0</v>
      </c>
      <c r="N126" s="6">
        <v>0</v>
      </c>
      <c r="O126" s="9">
        <v>0</v>
      </c>
      <c r="P126" s="9">
        <v>0</v>
      </c>
      <c r="Q126" s="6">
        <v>0</v>
      </c>
      <c r="R126" s="9">
        <v>0</v>
      </c>
      <c r="S126" s="4" t="s">
        <v>58</v>
      </c>
    </row>
    <row r="127" spans="1:19" x14ac:dyDescent="0.2">
      <c r="A127" s="4">
        <v>1197128</v>
      </c>
      <c r="B127" s="4" t="s">
        <v>57</v>
      </c>
      <c r="C127" s="14" t="s">
        <v>201</v>
      </c>
      <c r="D127" s="6">
        <v>103800</v>
      </c>
      <c r="E127" s="6">
        <v>113.6</v>
      </c>
      <c r="F127" s="6">
        <v>117916.8</v>
      </c>
      <c r="G127" s="6">
        <v>103800</v>
      </c>
      <c r="H127" s="6">
        <v>114.2</v>
      </c>
      <c r="I127" s="6">
        <v>118539.6</v>
      </c>
      <c r="J127" s="9">
        <v>1E-3</v>
      </c>
      <c r="K127" s="9">
        <v>0</v>
      </c>
      <c r="L127" s="9">
        <v>0</v>
      </c>
      <c r="M127" s="6">
        <v>0</v>
      </c>
      <c r="N127" s="6">
        <v>622.79999999999995</v>
      </c>
      <c r="O127" s="9">
        <v>5.3E-3</v>
      </c>
      <c r="P127" s="9">
        <v>5.28E-3</v>
      </c>
      <c r="Q127" s="6">
        <v>0</v>
      </c>
      <c r="R127" s="9">
        <v>0</v>
      </c>
      <c r="S127" s="4" t="s">
        <v>58</v>
      </c>
    </row>
    <row r="128" spans="1:19" x14ac:dyDescent="0.2">
      <c r="A128" s="4">
        <v>1197763</v>
      </c>
      <c r="B128" s="4" t="s">
        <v>57</v>
      </c>
      <c r="C128" s="14" t="s">
        <v>202</v>
      </c>
      <c r="D128" s="6">
        <v>146630</v>
      </c>
      <c r="E128" s="6">
        <v>104.65</v>
      </c>
      <c r="F128" s="6">
        <v>153448.29999999999</v>
      </c>
      <c r="G128" s="6">
        <v>146630</v>
      </c>
      <c r="H128" s="6">
        <v>105.77</v>
      </c>
      <c r="I128" s="6">
        <v>155090.54999999999</v>
      </c>
      <c r="J128" s="9">
        <v>1.1999999999999999E-3</v>
      </c>
      <c r="K128" s="9">
        <v>0</v>
      </c>
      <c r="L128" s="9">
        <v>0</v>
      </c>
      <c r="M128" s="6">
        <v>0</v>
      </c>
      <c r="N128" s="6">
        <v>1642.2560000000001</v>
      </c>
      <c r="O128" s="9">
        <v>1.0699999999999999E-2</v>
      </c>
      <c r="P128" s="9">
        <v>1.0699999999999999E-2</v>
      </c>
      <c r="Q128" s="6">
        <v>0</v>
      </c>
      <c r="R128" s="9">
        <v>0</v>
      </c>
      <c r="S128" s="4" t="s">
        <v>58</v>
      </c>
    </row>
    <row r="129" spans="1:19" x14ac:dyDescent="0.2">
      <c r="A129" s="4">
        <v>1198043</v>
      </c>
      <c r="B129" s="4" t="s">
        <v>57</v>
      </c>
      <c r="C129" s="14" t="s">
        <v>203</v>
      </c>
      <c r="D129" s="6">
        <v>1546752.1</v>
      </c>
      <c r="E129" s="6">
        <v>105.26</v>
      </c>
      <c r="F129" s="6">
        <v>1628111.26</v>
      </c>
      <c r="G129" s="6">
        <v>1546752.1</v>
      </c>
      <c r="H129" s="6">
        <v>105.61</v>
      </c>
      <c r="I129" s="6">
        <v>1633524.89</v>
      </c>
      <c r="J129" s="9">
        <v>1.3100000000000001E-2</v>
      </c>
      <c r="K129" s="9">
        <v>0</v>
      </c>
      <c r="L129" s="9">
        <v>0</v>
      </c>
      <c r="M129" s="6">
        <v>0</v>
      </c>
      <c r="N129" s="6">
        <v>5413.6324000000004</v>
      </c>
      <c r="O129" s="9">
        <v>3.3E-3</v>
      </c>
      <c r="P129" s="9">
        <v>3.3300000000000001E-3</v>
      </c>
      <c r="Q129" s="6">
        <v>0</v>
      </c>
      <c r="R129" s="9">
        <v>0</v>
      </c>
      <c r="S129" s="4" t="s">
        <v>58</v>
      </c>
    </row>
    <row r="130" spans="1:19" x14ac:dyDescent="0.2">
      <c r="A130" s="4">
        <v>1198175</v>
      </c>
      <c r="B130" s="4" t="s">
        <v>57</v>
      </c>
      <c r="C130" s="14" t="s">
        <v>204</v>
      </c>
      <c r="D130" s="6">
        <v>221465.48</v>
      </c>
      <c r="E130" s="6">
        <v>103</v>
      </c>
      <c r="F130" s="6">
        <v>228109.44</v>
      </c>
      <c r="G130" s="6">
        <v>221465.48</v>
      </c>
      <c r="H130" s="6">
        <v>103</v>
      </c>
      <c r="I130" s="6">
        <v>228109.44</v>
      </c>
      <c r="J130" s="9">
        <v>1.8E-3</v>
      </c>
      <c r="K130" s="9">
        <v>0</v>
      </c>
      <c r="L130" s="9">
        <v>0</v>
      </c>
      <c r="M130" s="6">
        <v>0</v>
      </c>
      <c r="N130" s="6">
        <v>0</v>
      </c>
      <c r="O130" s="9">
        <v>0</v>
      </c>
      <c r="P130" s="9">
        <v>0</v>
      </c>
      <c r="Q130" s="6">
        <v>0</v>
      </c>
      <c r="R130" s="9">
        <v>0</v>
      </c>
      <c r="S130" s="4" t="s">
        <v>58</v>
      </c>
    </row>
    <row r="131" spans="1:19" x14ac:dyDescent="0.2">
      <c r="A131" s="4">
        <v>1198860</v>
      </c>
      <c r="B131" s="4" t="s">
        <v>57</v>
      </c>
      <c r="C131" s="14" t="s">
        <v>205</v>
      </c>
      <c r="D131" s="6">
        <v>1295457</v>
      </c>
      <c r="E131" s="6">
        <v>102.55</v>
      </c>
      <c r="F131" s="6">
        <v>1328491.1499999999</v>
      </c>
      <c r="G131" s="6">
        <v>1295457</v>
      </c>
      <c r="H131" s="6">
        <v>102.93</v>
      </c>
      <c r="I131" s="6">
        <v>1333413.8899999999</v>
      </c>
      <c r="J131" s="9">
        <v>1.0699999999999999E-2</v>
      </c>
      <c r="K131" s="9">
        <v>0</v>
      </c>
      <c r="L131" s="9">
        <v>0</v>
      </c>
      <c r="M131" s="6">
        <v>0</v>
      </c>
      <c r="N131" s="6">
        <v>4922.7366000000002</v>
      </c>
      <c r="O131" s="9">
        <v>3.7000000000000002E-3</v>
      </c>
      <c r="P131" s="9">
        <v>3.7100000000000002E-3</v>
      </c>
      <c r="Q131" s="6">
        <v>0</v>
      </c>
      <c r="R131" s="9">
        <v>0</v>
      </c>
      <c r="S131" s="4" t="s">
        <v>58</v>
      </c>
    </row>
    <row r="132" spans="1:19" x14ac:dyDescent="0.2">
      <c r="A132" s="4">
        <v>1198910</v>
      </c>
      <c r="B132" s="4" t="s">
        <v>57</v>
      </c>
      <c r="C132" s="14" t="s">
        <v>206</v>
      </c>
      <c r="D132" s="6">
        <v>10632</v>
      </c>
      <c r="E132" s="6">
        <v>5580</v>
      </c>
      <c r="F132" s="6">
        <v>593265.6</v>
      </c>
      <c r="G132" s="6">
        <v>10632</v>
      </c>
      <c r="H132" s="6">
        <v>5700</v>
      </c>
      <c r="I132" s="6">
        <v>606024</v>
      </c>
      <c r="J132" s="9">
        <v>4.8999999999999998E-3</v>
      </c>
      <c r="K132" s="9">
        <v>0</v>
      </c>
      <c r="L132" s="9">
        <v>0</v>
      </c>
      <c r="M132" s="6">
        <v>0</v>
      </c>
      <c r="N132" s="6">
        <v>12758.4</v>
      </c>
      <c r="O132" s="9">
        <v>2.1499999999999998E-2</v>
      </c>
      <c r="P132" s="9">
        <v>2.1510000000000001E-2</v>
      </c>
      <c r="Q132" s="6">
        <v>0</v>
      </c>
      <c r="R132" s="9">
        <v>0</v>
      </c>
      <c r="S132" s="4" t="s">
        <v>58</v>
      </c>
    </row>
    <row r="133" spans="1:19" x14ac:dyDescent="0.2">
      <c r="A133" s="4">
        <v>1199124</v>
      </c>
      <c r="B133" s="4" t="s">
        <v>57</v>
      </c>
      <c r="C133" s="14" t="s">
        <v>207</v>
      </c>
      <c r="D133" s="6">
        <v>187140</v>
      </c>
      <c r="E133" s="6">
        <v>106.16</v>
      </c>
      <c r="F133" s="6">
        <v>198667.82</v>
      </c>
      <c r="G133" s="6">
        <v>187140</v>
      </c>
      <c r="H133" s="6">
        <v>106.16</v>
      </c>
      <c r="I133" s="6">
        <v>198667.82</v>
      </c>
      <c r="J133" s="9">
        <v>1.6000000000000001E-3</v>
      </c>
      <c r="K133" s="9">
        <v>0</v>
      </c>
      <c r="L133" s="9">
        <v>0</v>
      </c>
      <c r="M133" s="6">
        <v>0</v>
      </c>
      <c r="N133" s="6">
        <v>0</v>
      </c>
      <c r="O133" s="9">
        <v>0</v>
      </c>
      <c r="P133" s="9">
        <v>0</v>
      </c>
      <c r="Q133" s="6">
        <v>0</v>
      </c>
      <c r="R133" s="9">
        <v>0</v>
      </c>
      <c r="S133" s="4" t="s">
        <v>58</v>
      </c>
    </row>
    <row r="134" spans="1:19" x14ac:dyDescent="0.2">
      <c r="A134" s="4">
        <v>1199488</v>
      </c>
      <c r="B134" s="4" t="s">
        <v>57</v>
      </c>
      <c r="C134" s="14" t="s">
        <v>208</v>
      </c>
      <c r="D134" s="6">
        <v>100102.89</v>
      </c>
      <c r="E134" s="6">
        <v>105.7</v>
      </c>
      <c r="F134" s="6">
        <v>105808.75</v>
      </c>
      <c r="G134" s="6">
        <v>100102.89</v>
      </c>
      <c r="H134" s="6">
        <v>105.73</v>
      </c>
      <c r="I134" s="6">
        <v>105838.79</v>
      </c>
      <c r="J134" s="9">
        <v>8.0000000000000004E-4</v>
      </c>
      <c r="K134" s="9">
        <v>0</v>
      </c>
      <c r="L134" s="9">
        <v>0</v>
      </c>
      <c r="M134" s="6">
        <v>0</v>
      </c>
      <c r="N134" s="6">
        <v>30.030899999999999</v>
      </c>
      <c r="O134" s="9">
        <v>2.9999999999999997E-4</v>
      </c>
      <c r="P134" s="9">
        <v>2.7999999999999998E-4</v>
      </c>
      <c r="Q134" s="6">
        <v>0</v>
      </c>
      <c r="R134" s="9">
        <v>0</v>
      </c>
      <c r="S134" s="4" t="s">
        <v>58</v>
      </c>
    </row>
    <row r="135" spans="1:19" x14ac:dyDescent="0.2">
      <c r="A135" s="4">
        <v>1201896</v>
      </c>
      <c r="B135" s="4" t="s">
        <v>57</v>
      </c>
      <c r="C135" s="14" t="s">
        <v>209</v>
      </c>
      <c r="D135" s="6">
        <v>390538</v>
      </c>
      <c r="E135" s="6">
        <v>110.43</v>
      </c>
      <c r="F135" s="6">
        <v>431271.11</v>
      </c>
      <c r="G135" s="6">
        <v>390538</v>
      </c>
      <c r="H135" s="6">
        <v>110.24</v>
      </c>
      <c r="I135" s="6">
        <v>430529.09</v>
      </c>
      <c r="J135" s="9">
        <v>3.5000000000000001E-3</v>
      </c>
      <c r="K135" s="9">
        <v>0</v>
      </c>
      <c r="L135" s="9">
        <v>0</v>
      </c>
      <c r="M135" s="6">
        <v>0</v>
      </c>
      <c r="N135" s="6">
        <v>-742.0222</v>
      </c>
      <c r="O135" s="9">
        <v>-1.6999999999999999E-3</v>
      </c>
      <c r="P135" s="9">
        <v>-1.72E-3</v>
      </c>
      <c r="Q135" s="6">
        <v>0</v>
      </c>
      <c r="R135" s="9">
        <v>0</v>
      </c>
      <c r="S135" s="4" t="s">
        <v>58</v>
      </c>
    </row>
    <row r="136" spans="1:19" x14ac:dyDescent="0.2">
      <c r="A136" s="4">
        <v>1203074</v>
      </c>
      <c r="B136" s="4" t="s">
        <v>57</v>
      </c>
      <c r="C136" s="14" t="s">
        <v>210</v>
      </c>
      <c r="D136" s="6">
        <v>262199</v>
      </c>
      <c r="E136" s="6">
        <v>101.36</v>
      </c>
      <c r="F136" s="6">
        <v>265764.90999999997</v>
      </c>
      <c r="G136" s="6">
        <v>262199</v>
      </c>
      <c r="H136" s="6">
        <v>101.65</v>
      </c>
      <c r="I136" s="6">
        <v>266525.28000000003</v>
      </c>
      <c r="J136" s="9">
        <v>2.0999999999999999E-3</v>
      </c>
      <c r="K136" s="9">
        <v>0</v>
      </c>
      <c r="L136" s="9">
        <v>0</v>
      </c>
      <c r="M136" s="6">
        <v>0</v>
      </c>
      <c r="N136" s="6">
        <v>760.37710000000004</v>
      </c>
      <c r="O136" s="9">
        <v>2.8999999999999998E-3</v>
      </c>
      <c r="P136" s="9">
        <v>2.8600000000000001E-3</v>
      </c>
      <c r="Q136" s="6">
        <v>0</v>
      </c>
      <c r="R136" s="9">
        <v>0</v>
      </c>
      <c r="S136" s="4" t="s">
        <v>58</v>
      </c>
    </row>
    <row r="137" spans="1:19" x14ac:dyDescent="0.2">
      <c r="A137" s="4">
        <v>1203264</v>
      </c>
      <c r="B137" s="4" t="s">
        <v>57</v>
      </c>
      <c r="C137" s="14" t="s">
        <v>211</v>
      </c>
      <c r="D137" s="6">
        <v>306204</v>
      </c>
      <c r="E137" s="6">
        <v>111.22</v>
      </c>
      <c r="F137" s="6">
        <v>340560.09</v>
      </c>
      <c r="G137" s="6">
        <v>306204</v>
      </c>
      <c r="H137" s="6">
        <v>111.29</v>
      </c>
      <c r="I137" s="6">
        <v>340774.43</v>
      </c>
      <c r="J137" s="9">
        <v>2.7000000000000001E-3</v>
      </c>
      <c r="K137" s="9">
        <v>0</v>
      </c>
      <c r="L137" s="9">
        <v>0</v>
      </c>
      <c r="M137" s="6">
        <v>0</v>
      </c>
      <c r="N137" s="6">
        <v>214.34280000000001</v>
      </c>
      <c r="O137" s="9">
        <v>5.9999999999999995E-4</v>
      </c>
      <c r="P137" s="9">
        <v>6.3000000000000003E-4</v>
      </c>
      <c r="Q137" s="6">
        <v>0</v>
      </c>
      <c r="R137" s="9">
        <v>0</v>
      </c>
      <c r="S137" s="4" t="s">
        <v>58</v>
      </c>
    </row>
    <row r="138" spans="1:19" x14ac:dyDescent="0.2">
      <c r="A138" s="4">
        <v>1204718</v>
      </c>
      <c r="B138" s="4" t="s">
        <v>57</v>
      </c>
      <c r="C138" s="14" t="s">
        <v>212</v>
      </c>
      <c r="D138" s="6">
        <v>311052</v>
      </c>
      <c r="E138" s="6">
        <v>97.4</v>
      </c>
      <c r="F138" s="6">
        <v>302964.65000000002</v>
      </c>
      <c r="G138" s="6">
        <v>311052</v>
      </c>
      <c r="H138" s="6">
        <v>98.09</v>
      </c>
      <c r="I138" s="6">
        <v>305110.90999999997</v>
      </c>
      <c r="J138" s="9">
        <v>2.5000000000000001E-3</v>
      </c>
      <c r="K138" s="9">
        <v>0</v>
      </c>
      <c r="L138" s="9">
        <v>0</v>
      </c>
      <c r="M138" s="6">
        <v>0</v>
      </c>
      <c r="N138" s="6">
        <v>2146.2588000000001</v>
      </c>
      <c r="O138" s="9">
        <v>7.1000000000000004E-3</v>
      </c>
      <c r="P138" s="9">
        <v>7.0800000000000004E-3</v>
      </c>
      <c r="Q138" s="6">
        <v>0</v>
      </c>
      <c r="R138" s="9">
        <v>0</v>
      </c>
      <c r="S138" s="4" t="s">
        <v>58</v>
      </c>
    </row>
    <row r="139" spans="1:19" x14ac:dyDescent="0.2">
      <c r="A139" s="4">
        <v>1206663</v>
      </c>
      <c r="B139" s="4" t="s">
        <v>57</v>
      </c>
      <c r="C139" s="14" t="s">
        <v>213</v>
      </c>
      <c r="D139" s="6">
        <v>2000623</v>
      </c>
      <c r="E139" s="6">
        <v>102.4</v>
      </c>
      <c r="F139" s="6">
        <v>2048637.95</v>
      </c>
      <c r="G139" s="6">
        <v>2000623</v>
      </c>
      <c r="H139" s="6">
        <v>102.24</v>
      </c>
      <c r="I139" s="6">
        <v>2045436.96</v>
      </c>
      <c r="J139" s="9">
        <v>1.6400000000000001E-2</v>
      </c>
      <c r="K139" s="9">
        <v>0</v>
      </c>
      <c r="L139" s="9">
        <v>0</v>
      </c>
      <c r="M139" s="6">
        <v>0</v>
      </c>
      <c r="N139" s="6">
        <v>-3200.9967999999999</v>
      </c>
      <c r="O139" s="9">
        <v>-1.6000000000000001E-3</v>
      </c>
      <c r="P139" s="9">
        <v>-1.56E-3</v>
      </c>
      <c r="Q139" s="6">
        <v>0</v>
      </c>
      <c r="R139" s="9">
        <v>0</v>
      </c>
      <c r="S139" s="4" t="s">
        <v>58</v>
      </c>
    </row>
    <row r="140" spans="1:19" x14ac:dyDescent="0.2">
      <c r="A140" s="4">
        <v>1207836</v>
      </c>
      <c r="B140" s="4" t="s">
        <v>57</v>
      </c>
      <c r="C140" s="14" t="s">
        <v>214</v>
      </c>
      <c r="D140" s="6">
        <v>100381</v>
      </c>
      <c r="E140" s="6">
        <v>105.9</v>
      </c>
      <c r="F140" s="6">
        <v>106303.48</v>
      </c>
      <c r="G140" s="6">
        <v>100381</v>
      </c>
      <c r="H140" s="6">
        <v>105.86</v>
      </c>
      <c r="I140" s="6">
        <v>106263.33</v>
      </c>
      <c r="J140" s="9">
        <v>8.9999999999999998E-4</v>
      </c>
      <c r="K140" s="9">
        <v>0</v>
      </c>
      <c r="L140" s="9">
        <v>0</v>
      </c>
      <c r="M140" s="6">
        <v>0</v>
      </c>
      <c r="N140" s="6">
        <v>-40.1524</v>
      </c>
      <c r="O140" s="9">
        <v>-4.0000000000000002E-4</v>
      </c>
      <c r="P140" s="9">
        <v>-3.8000000000000002E-4</v>
      </c>
      <c r="Q140" s="6">
        <v>0</v>
      </c>
      <c r="R140" s="9">
        <v>0</v>
      </c>
      <c r="S140" s="4" t="s">
        <v>58</v>
      </c>
    </row>
    <row r="141" spans="1:19" x14ac:dyDescent="0.2">
      <c r="A141" s="4">
        <v>1208784</v>
      </c>
      <c r="B141" s="4" t="s">
        <v>57</v>
      </c>
      <c r="C141" s="14" t="s">
        <v>215</v>
      </c>
      <c r="D141" s="6">
        <v>301220</v>
      </c>
      <c r="E141" s="6">
        <v>109.2</v>
      </c>
      <c r="F141" s="6">
        <v>328932.24</v>
      </c>
      <c r="G141" s="6">
        <v>301220</v>
      </c>
      <c r="H141" s="6">
        <v>109.47</v>
      </c>
      <c r="I141" s="6">
        <v>329745.53000000003</v>
      </c>
      <c r="J141" s="9">
        <v>2.5999999999999999E-3</v>
      </c>
      <c r="K141" s="9">
        <v>0</v>
      </c>
      <c r="L141" s="9">
        <v>0</v>
      </c>
      <c r="M141" s="6">
        <v>0</v>
      </c>
      <c r="N141" s="6">
        <v>813.29399999999998</v>
      </c>
      <c r="O141" s="9">
        <v>2.5000000000000001E-3</v>
      </c>
      <c r="P141" s="9">
        <v>2.47E-3</v>
      </c>
      <c r="Q141" s="6">
        <v>0</v>
      </c>
      <c r="R141" s="9">
        <v>0</v>
      </c>
      <c r="S141" s="4" t="s">
        <v>58</v>
      </c>
    </row>
    <row r="142" spans="1:19" x14ac:dyDescent="0.2">
      <c r="A142" s="4">
        <v>1208933</v>
      </c>
      <c r="B142" s="4" t="s">
        <v>57</v>
      </c>
      <c r="C142" s="14" t="s">
        <v>216</v>
      </c>
      <c r="D142" s="6">
        <v>303154.2</v>
      </c>
      <c r="E142" s="6">
        <v>104.81</v>
      </c>
      <c r="F142" s="6">
        <v>317735.92</v>
      </c>
      <c r="G142" s="6">
        <v>303154.2</v>
      </c>
      <c r="H142" s="6">
        <v>104.81</v>
      </c>
      <c r="I142" s="6">
        <v>317735.92</v>
      </c>
      <c r="J142" s="9">
        <v>2.5999999999999999E-3</v>
      </c>
      <c r="K142" s="9">
        <v>0</v>
      </c>
      <c r="L142" s="9">
        <v>0</v>
      </c>
      <c r="M142" s="6">
        <v>0</v>
      </c>
      <c r="N142" s="6">
        <v>0</v>
      </c>
      <c r="O142" s="9">
        <v>0</v>
      </c>
      <c r="P142" s="9">
        <v>0</v>
      </c>
      <c r="Q142" s="6">
        <v>0</v>
      </c>
      <c r="R142" s="9">
        <v>0</v>
      </c>
      <c r="S142" s="4" t="s">
        <v>58</v>
      </c>
    </row>
    <row r="143" spans="1:19" x14ac:dyDescent="0.2">
      <c r="A143" s="4">
        <v>1209295</v>
      </c>
      <c r="B143" s="4" t="s">
        <v>57</v>
      </c>
      <c r="C143" s="14" t="s">
        <v>217</v>
      </c>
      <c r="D143" s="6">
        <v>56938</v>
      </c>
      <c r="E143" s="6">
        <v>102.37</v>
      </c>
      <c r="F143" s="6">
        <v>58287.43</v>
      </c>
      <c r="G143" s="6">
        <v>56938</v>
      </c>
      <c r="H143" s="6">
        <v>103.99</v>
      </c>
      <c r="I143" s="6">
        <v>59209.83</v>
      </c>
      <c r="J143" s="9">
        <v>5.0000000000000001E-4</v>
      </c>
      <c r="K143" s="9">
        <v>0</v>
      </c>
      <c r="L143" s="9">
        <v>0</v>
      </c>
      <c r="M143" s="6">
        <v>0</v>
      </c>
      <c r="N143" s="6">
        <v>922.39559999999994</v>
      </c>
      <c r="O143" s="9">
        <v>1.5800000000000002E-2</v>
      </c>
      <c r="P143" s="9">
        <v>1.5820000000000001E-2</v>
      </c>
      <c r="Q143" s="6">
        <v>0</v>
      </c>
      <c r="R143" s="9">
        <v>0</v>
      </c>
      <c r="S143" s="4" t="s">
        <v>58</v>
      </c>
    </row>
    <row r="144" spans="1:19" x14ac:dyDescent="0.2">
      <c r="A144" s="4">
        <v>1211770</v>
      </c>
      <c r="B144" s="4" t="s">
        <v>57</v>
      </c>
      <c r="C144" s="14" t="s">
        <v>218</v>
      </c>
      <c r="D144" s="6">
        <v>317469</v>
      </c>
      <c r="E144" s="6">
        <v>101.21</v>
      </c>
      <c r="F144" s="6">
        <v>321310.37</v>
      </c>
      <c r="G144" s="6">
        <v>317469</v>
      </c>
      <c r="H144" s="6">
        <v>102.11</v>
      </c>
      <c r="I144" s="6">
        <v>324167.59999999998</v>
      </c>
      <c r="J144" s="9">
        <v>2.5999999999999999E-3</v>
      </c>
      <c r="K144" s="9">
        <v>0</v>
      </c>
      <c r="L144" s="9">
        <v>0</v>
      </c>
      <c r="M144" s="6">
        <v>0</v>
      </c>
      <c r="N144" s="6">
        <v>2857.221</v>
      </c>
      <c r="O144" s="9">
        <v>8.8999999999999999E-3</v>
      </c>
      <c r="P144" s="9">
        <v>8.8900000000000003E-3</v>
      </c>
      <c r="Q144" s="6">
        <v>0</v>
      </c>
      <c r="R144" s="9">
        <v>0</v>
      </c>
      <c r="S144" s="4" t="s">
        <v>58</v>
      </c>
    </row>
    <row r="145" spans="1:19" x14ac:dyDescent="0.2">
      <c r="A145" s="4">
        <v>1212588</v>
      </c>
      <c r="B145" s="4" t="s">
        <v>57</v>
      </c>
      <c r="C145" s="14" t="s">
        <v>219</v>
      </c>
      <c r="D145" s="6">
        <v>774191</v>
      </c>
      <c r="E145" s="6">
        <v>102.9</v>
      </c>
      <c r="F145" s="6">
        <v>796642.54</v>
      </c>
      <c r="G145" s="6">
        <v>774191</v>
      </c>
      <c r="H145" s="6">
        <v>103.05</v>
      </c>
      <c r="I145" s="6">
        <v>797803.83</v>
      </c>
      <c r="J145" s="9">
        <v>6.4000000000000003E-3</v>
      </c>
      <c r="K145" s="9">
        <v>0</v>
      </c>
      <c r="L145" s="9">
        <v>0</v>
      </c>
      <c r="M145" s="6">
        <v>0</v>
      </c>
      <c r="N145" s="6">
        <v>1161.2864999999999</v>
      </c>
      <c r="O145" s="9">
        <v>1.5E-3</v>
      </c>
      <c r="P145" s="9">
        <v>1.4599999999999999E-3</v>
      </c>
      <c r="Q145" s="6">
        <v>0</v>
      </c>
      <c r="R145" s="9">
        <v>0</v>
      </c>
      <c r="S145" s="4" t="s">
        <v>58</v>
      </c>
    </row>
    <row r="146" spans="1:19" x14ac:dyDescent="0.2">
      <c r="A146" s="4">
        <v>1214675</v>
      </c>
      <c r="B146" s="4" t="s">
        <v>57</v>
      </c>
      <c r="C146" s="14" t="s">
        <v>220</v>
      </c>
      <c r="D146" s="6">
        <v>1259751.76</v>
      </c>
      <c r="E146" s="6">
        <v>101.65</v>
      </c>
      <c r="F146" s="6">
        <v>1280537.6599999999</v>
      </c>
      <c r="G146" s="6">
        <v>1259751.76</v>
      </c>
      <c r="H146" s="6">
        <v>102.13</v>
      </c>
      <c r="I146" s="6">
        <v>1286584.47</v>
      </c>
      <c r="J146" s="9">
        <v>1.03E-2</v>
      </c>
      <c r="K146" s="9">
        <v>0</v>
      </c>
      <c r="L146" s="9">
        <v>0</v>
      </c>
      <c r="M146" s="6">
        <v>0</v>
      </c>
      <c r="N146" s="6">
        <v>6046.8083999999999</v>
      </c>
      <c r="O146" s="9">
        <v>4.7000000000000002E-3</v>
      </c>
      <c r="P146" s="9">
        <v>4.7200000000000002E-3</v>
      </c>
      <c r="Q146" s="6">
        <v>0</v>
      </c>
      <c r="R146" s="9">
        <v>0</v>
      </c>
      <c r="S146" s="4" t="s">
        <v>58</v>
      </c>
    </row>
    <row r="147" spans="1:19" x14ac:dyDescent="0.2">
      <c r="A147" s="4">
        <v>1215094</v>
      </c>
      <c r="B147" s="4" t="s">
        <v>57</v>
      </c>
      <c r="C147" s="14" t="s">
        <v>221</v>
      </c>
      <c r="D147" s="6">
        <v>1196466</v>
      </c>
      <c r="E147" s="6">
        <v>103.15</v>
      </c>
      <c r="F147" s="6">
        <v>1234154.68</v>
      </c>
      <c r="G147" s="6">
        <v>1196466</v>
      </c>
      <c r="H147" s="6">
        <v>103.15</v>
      </c>
      <c r="I147" s="6">
        <v>1234154.68</v>
      </c>
      <c r="J147" s="9">
        <v>9.9000000000000008E-3</v>
      </c>
      <c r="K147" s="9">
        <v>0</v>
      </c>
      <c r="L147" s="9">
        <v>0</v>
      </c>
      <c r="M147" s="6">
        <v>0</v>
      </c>
      <c r="N147" s="6">
        <v>0</v>
      </c>
      <c r="O147" s="9">
        <v>0</v>
      </c>
      <c r="P147" s="9">
        <v>0</v>
      </c>
      <c r="Q147" s="6">
        <v>0</v>
      </c>
      <c r="R147" s="9">
        <v>0</v>
      </c>
      <c r="S147" s="4" t="s">
        <v>58</v>
      </c>
    </row>
    <row r="148" spans="1:19" x14ac:dyDescent="0.2">
      <c r="A148" s="4">
        <v>1215110</v>
      </c>
      <c r="B148" s="4" t="s">
        <v>57</v>
      </c>
      <c r="C148" s="14" t="s">
        <v>222</v>
      </c>
      <c r="D148" s="6">
        <v>108822</v>
      </c>
      <c r="E148" s="6">
        <v>104.28</v>
      </c>
      <c r="F148" s="6">
        <v>113479.58</v>
      </c>
      <c r="G148" s="6">
        <v>108822</v>
      </c>
      <c r="H148" s="6">
        <v>103.89</v>
      </c>
      <c r="I148" s="6">
        <v>113055.18</v>
      </c>
      <c r="J148" s="9">
        <v>8.9999999999999998E-4</v>
      </c>
      <c r="K148" s="9">
        <v>0</v>
      </c>
      <c r="L148" s="9">
        <v>0</v>
      </c>
      <c r="M148" s="6">
        <v>0</v>
      </c>
      <c r="N148" s="6">
        <v>-424.4058</v>
      </c>
      <c r="O148" s="9">
        <v>-3.7000000000000002E-3</v>
      </c>
      <c r="P148" s="9">
        <v>-3.7399999999999998E-3</v>
      </c>
      <c r="Q148" s="6">
        <v>0</v>
      </c>
      <c r="R148" s="9">
        <v>0</v>
      </c>
      <c r="S148" s="4" t="s">
        <v>58</v>
      </c>
    </row>
    <row r="149" spans="1:19" x14ac:dyDescent="0.2">
      <c r="A149" s="4">
        <v>1215763</v>
      </c>
      <c r="B149" s="4" t="s">
        <v>57</v>
      </c>
      <c r="C149" s="14" t="s">
        <v>223</v>
      </c>
      <c r="D149" s="6">
        <v>10000</v>
      </c>
      <c r="E149" s="6">
        <v>103.08</v>
      </c>
      <c r="F149" s="6">
        <v>10308</v>
      </c>
      <c r="G149" s="6">
        <v>10000</v>
      </c>
      <c r="H149" s="6">
        <v>103.3</v>
      </c>
      <c r="I149" s="6">
        <v>10330</v>
      </c>
      <c r="J149" s="9">
        <v>1E-4</v>
      </c>
      <c r="K149" s="9">
        <v>0</v>
      </c>
      <c r="L149" s="9">
        <v>0</v>
      </c>
      <c r="M149" s="6">
        <v>0</v>
      </c>
      <c r="N149" s="6">
        <v>22</v>
      </c>
      <c r="O149" s="9">
        <v>2.0999999999999999E-3</v>
      </c>
      <c r="P149" s="9">
        <v>2.1299999999999999E-3</v>
      </c>
      <c r="Q149" s="6">
        <v>0</v>
      </c>
      <c r="R149" s="9">
        <v>0</v>
      </c>
      <c r="S149" s="4" t="s">
        <v>58</v>
      </c>
    </row>
    <row r="150" spans="1:19" x14ac:dyDescent="0.2">
      <c r="A150" s="4">
        <v>1216720</v>
      </c>
      <c r="B150" s="4" t="s">
        <v>57</v>
      </c>
      <c r="C150" s="14" t="s">
        <v>224</v>
      </c>
      <c r="D150" s="6">
        <v>322360</v>
      </c>
      <c r="E150" s="6">
        <v>103.95</v>
      </c>
      <c r="F150" s="6">
        <v>335093.21999999997</v>
      </c>
      <c r="G150" s="6">
        <v>322360</v>
      </c>
      <c r="H150" s="6">
        <v>103.86</v>
      </c>
      <c r="I150" s="6">
        <v>334803.09999999998</v>
      </c>
      <c r="J150" s="9">
        <v>2.7000000000000001E-3</v>
      </c>
      <c r="K150" s="9">
        <v>0</v>
      </c>
      <c r="L150" s="9">
        <v>0</v>
      </c>
      <c r="M150" s="6">
        <v>0</v>
      </c>
      <c r="N150" s="6">
        <v>-290.12400000000002</v>
      </c>
      <c r="O150" s="9">
        <v>-8.9999999999999998E-4</v>
      </c>
      <c r="P150" s="9">
        <v>-8.7000000000000001E-4</v>
      </c>
      <c r="Q150" s="6">
        <v>0</v>
      </c>
      <c r="R150" s="9">
        <v>0</v>
      </c>
      <c r="S150" s="4" t="s">
        <v>58</v>
      </c>
    </row>
    <row r="151" spans="1:19" x14ac:dyDescent="0.2">
      <c r="A151" s="4">
        <v>1217389</v>
      </c>
      <c r="B151" s="4" t="s">
        <v>57</v>
      </c>
      <c r="C151" s="14" t="s">
        <v>225</v>
      </c>
      <c r="D151" s="6">
        <v>258347</v>
      </c>
      <c r="E151" s="6">
        <v>105.87</v>
      </c>
      <c r="F151" s="6">
        <v>273511.96999999997</v>
      </c>
      <c r="G151" s="6">
        <v>258347</v>
      </c>
      <c r="H151" s="6">
        <v>105.87</v>
      </c>
      <c r="I151" s="6">
        <v>273511.96999999997</v>
      </c>
      <c r="J151" s="9">
        <v>2.2000000000000001E-3</v>
      </c>
      <c r="K151" s="9">
        <v>0</v>
      </c>
      <c r="L151" s="9">
        <v>0</v>
      </c>
      <c r="M151" s="6">
        <v>0</v>
      </c>
      <c r="N151" s="6">
        <v>0</v>
      </c>
      <c r="O151" s="9">
        <v>0</v>
      </c>
      <c r="P151" s="9">
        <v>0</v>
      </c>
      <c r="Q151" s="6">
        <v>0</v>
      </c>
      <c r="R151" s="9">
        <v>0</v>
      </c>
      <c r="S151" s="4" t="s">
        <v>58</v>
      </c>
    </row>
    <row r="152" spans="1:19" x14ac:dyDescent="0.2">
      <c r="A152" s="4">
        <v>1217694</v>
      </c>
      <c r="B152" s="4" t="s">
        <v>57</v>
      </c>
      <c r="C152" s="14" t="s">
        <v>226</v>
      </c>
      <c r="D152" s="6">
        <v>269494</v>
      </c>
      <c r="E152" s="6">
        <v>106.47</v>
      </c>
      <c r="F152" s="6">
        <v>286930.26</v>
      </c>
      <c r="G152" s="6">
        <v>269494</v>
      </c>
      <c r="H152" s="6">
        <v>106.25</v>
      </c>
      <c r="I152" s="6">
        <v>286337.38</v>
      </c>
      <c r="J152" s="9">
        <v>2.3E-3</v>
      </c>
      <c r="K152" s="9">
        <v>0</v>
      </c>
      <c r="L152" s="9">
        <v>0</v>
      </c>
      <c r="M152" s="6">
        <v>0</v>
      </c>
      <c r="N152" s="6">
        <v>-592.88679999999999</v>
      </c>
      <c r="O152" s="9">
        <v>-2.0999999999999999E-3</v>
      </c>
      <c r="P152" s="9">
        <v>-2.0699999999999998E-3</v>
      </c>
      <c r="Q152" s="6">
        <v>0</v>
      </c>
      <c r="R152" s="9">
        <v>0</v>
      </c>
      <c r="S152" s="4" t="s">
        <v>58</v>
      </c>
    </row>
    <row r="153" spans="1:19" x14ac:dyDescent="0.2">
      <c r="A153" s="4">
        <v>1217892</v>
      </c>
      <c r="B153" s="4" t="s">
        <v>57</v>
      </c>
      <c r="C153" s="14" t="s">
        <v>227</v>
      </c>
      <c r="D153" s="6">
        <v>400000</v>
      </c>
      <c r="E153" s="6">
        <v>99.97</v>
      </c>
      <c r="F153" s="6">
        <v>399880</v>
      </c>
      <c r="G153" s="6">
        <v>400000</v>
      </c>
      <c r="H153" s="6">
        <v>99.81</v>
      </c>
      <c r="I153" s="6">
        <v>399240</v>
      </c>
      <c r="J153" s="9">
        <v>3.2000000000000002E-3</v>
      </c>
      <c r="K153" s="9">
        <v>0</v>
      </c>
      <c r="L153" s="9">
        <v>0</v>
      </c>
      <c r="M153" s="6">
        <v>0</v>
      </c>
      <c r="N153" s="6">
        <v>-640</v>
      </c>
      <c r="O153" s="9">
        <v>-1.6000000000000001E-3</v>
      </c>
      <c r="P153" s="9">
        <v>-1.6000000000000001E-3</v>
      </c>
      <c r="Q153" s="6">
        <v>0</v>
      </c>
      <c r="R153" s="9">
        <v>0</v>
      </c>
      <c r="S153" s="4" t="s">
        <v>58</v>
      </c>
    </row>
    <row r="154" spans="1:19" x14ac:dyDescent="0.2">
      <c r="A154" s="4">
        <v>1223353</v>
      </c>
      <c r="B154" s="4" t="s">
        <v>57</v>
      </c>
      <c r="C154" s="14" t="s">
        <v>228</v>
      </c>
      <c r="D154" s="6">
        <v>2171643</v>
      </c>
      <c r="E154" s="6">
        <v>102.5</v>
      </c>
      <c r="F154" s="6">
        <v>2225934.08</v>
      </c>
      <c r="G154" s="6">
        <v>2171643</v>
      </c>
      <c r="H154" s="6">
        <v>101.68</v>
      </c>
      <c r="I154" s="6">
        <v>2208126.6</v>
      </c>
      <c r="J154" s="9">
        <v>1.77E-2</v>
      </c>
      <c r="K154" s="9">
        <v>0</v>
      </c>
      <c r="L154" s="9">
        <v>0</v>
      </c>
      <c r="M154" s="6">
        <v>0</v>
      </c>
      <c r="N154" s="6">
        <v>-17807.472600000001</v>
      </c>
      <c r="O154" s="9">
        <v>-8.0000000000000002E-3</v>
      </c>
      <c r="P154" s="9">
        <v>-8.0000000000000002E-3</v>
      </c>
      <c r="Q154" s="6">
        <v>0</v>
      </c>
      <c r="R154" s="9">
        <v>0</v>
      </c>
      <c r="S154" s="4" t="s">
        <v>58</v>
      </c>
    </row>
    <row r="155" spans="1:19" x14ac:dyDescent="0.2">
      <c r="A155" s="4">
        <v>1224690</v>
      </c>
      <c r="B155" s="4" t="s">
        <v>57</v>
      </c>
      <c r="C155" s="14" t="s">
        <v>229</v>
      </c>
      <c r="D155" s="6">
        <v>150000</v>
      </c>
      <c r="E155" s="6">
        <v>103.02</v>
      </c>
      <c r="F155" s="6">
        <v>154530</v>
      </c>
      <c r="G155" s="6">
        <v>150000</v>
      </c>
      <c r="H155" s="6">
        <v>103.02</v>
      </c>
      <c r="I155" s="6">
        <v>154530</v>
      </c>
      <c r="J155" s="9">
        <v>1.1999999999999999E-3</v>
      </c>
      <c r="K155" s="9">
        <v>0</v>
      </c>
      <c r="L155" s="9">
        <v>0</v>
      </c>
      <c r="M155" s="6">
        <v>0</v>
      </c>
      <c r="N155" s="6">
        <v>0</v>
      </c>
      <c r="O155" s="9">
        <v>0</v>
      </c>
      <c r="P155" s="9">
        <v>0</v>
      </c>
      <c r="Q155" s="6">
        <v>0</v>
      </c>
      <c r="R155" s="9">
        <v>0</v>
      </c>
      <c r="S155" s="4" t="s">
        <v>58</v>
      </c>
    </row>
    <row r="156" spans="1:19" x14ac:dyDescent="0.2">
      <c r="A156" s="4">
        <v>1225929</v>
      </c>
      <c r="B156" s="4" t="s">
        <v>57</v>
      </c>
      <c r="C156" s="14" t="s">
        <v>230</v>
      </c>
      <c r="D156" s="6">
        <v>1963865</v>
      </c>
      <c r="E156" s="6">
        <v>97.68</v>
      </c>
      <c r="F156" s="6">
        <v>1918303.33</v>
      </c>
      <c r="G156" s="6">
        <v>1963865</v>
      </c>
      <c r="H156" s="6">
        <v>99.5</v>
      </c>
      <c r="I156" s="6">
        <v>1954045.68</v>
      </c>
      <c r="J156" s="9">
        <v>1.5699999999999999E-2</v>
      </c>
      <c r="K156" s="9">
        <v>0</v>
      </c>
      <c r="L156" s="9">
        <v>0</v>
      </c>
      <c r="M156" s="6">
        <v>0</v>
      </c>
      <c r="N156" s="6">
        <v>35742.343000000001</v>
      </c>
      <c r="O156" s="9">
        <v>1.8599999999999998E-2</v>
      </c>
      <c r="P156" s="9">
        <v>1.8630000000000001E-2</v>
      </c>
      <c r="Q156" s="6">
        <v>0</v>
      </c>
      <c r="R156" s="9">
        <v>0</v>
      </c>
      <c r="S156" s="4" t="s">
        <v>58</v>
      </c>
    </row>
    <row r="157" spans="1:19" x14ac:dyDescent="0.2">
      <c r="A157" s="4">
        <v>1226992</v>
      </c>
      <c r="B157" s="4" t="s">
        <v>57</v>
      </c>
      <c r="C157" s="14" t="s">
        <v>231</v>
      </c>
      <c r="D157" s="6">
        <v>36110</v>
      </c>
      <c r="E157" s="6">
        <v>480.9</v>
      </c>
      <c r="F157" s="6">
        <v>173652.99</v>
      </c>
      <c r="G157" s="6">
        <v>36110</v>
      </c>
      <c r="H157" s="6">
        <v>479.7</v>
      </c>
      <c r="I157" s="6">
        <v>173219.67</v>
      </c>
      <c r="J157" s="9">
        <v>1.4E-3</v>
      </c>
      <c r="K157" s="9">
        <v>0</v>
      </c>
      <c r="L157" s="9">
        <v>0</v>
      </c>
      <c r="M157" s="6">
        <v>0</v>
      </c>
      <c r="N157" s="6">
        <v>-433.32</v>
      </c>
      <c r="O157" s="9">
        <v>-2.5000000000000001E-3</v>
      </c>
      <c r="P157" s="9">
        <v>-2.5000000000000001E-3</v>
      </c>
      <c r="Q157" s="6">
        <v>0</v>
      </c>
      <c r="R157" s="9">
        <v>0</v>
      </c>
      <c r="S157" s="4" t="s">
        <v>58</v>
      </c>
    </row>
    <row r="158" spans="1:19" x14ac:dyDescent="0.2">
      <c r="A158" s="4">
        <v>1227305</v>
      </c>
      <c r="B158" s="4" t="s">
        <v>57</v>
      </c>
      <c r="C158" s="14" t="s">
        <v>232</v>
      </c>
      <c r="D158" s="6">
        <v>436460</v>
      </c>
      <c r="E158" s="6">
        <v>101.65</v>
      </c>
      <c r="F158" s="6">
        <v>443661.59</v>
      </c>
      <c r="G158" s="6">
        <v>436460</v>
      </c>
      <c r="H158" s="6">
        <v>101.65</v>
      </c>
      <c r="I158" s="6">
        <v>443661.59</v>
      </c>
      <c r="J158" s="9">
        <v>3.5999999999999999E-3</v>
      </c>
      <c r="K158" s="9">
        <v>0</v>
      </c>
      <c r="L158" s="9">
        <v>0</v>
      </c>
      <c r="M158" s="6">
        <v>0</v>
      </c>
      <c r="N158" s="6">
        <v>0</v>
      </c>
      <c r="O158" s="9">
        <v>0</v>
      </c>
      <c r="P158" s="9">
        <v>0</v>
      </c>
      <c r="Q158" s="6">
        <v>0</v>
      </c>
      <c r="R158" s="9">
        <v>0</v>
      </c>
      <c r="S158" s="4" t="s">
        <v>58</v>
      </c>
    </row>
    <row r="159" spans="1:19" x14ac:dyDescent="0.2">
      <c r="A159" s="4">
        <v>1233550</v>
      </c>
      <c r="B159" s="4" t="s">
        <v>57</v>
      </c>
      <c r="C159" s="14" t="s">
        <v>233</v>
      </c>
      <c r="D159" s="6">
        <v>100000</v>
      </c>
      <c r="E159" s="6">
        <v>101.47</v>
      </c>
      <c r="F159" s="6">
        <v>101470</v>
      </c>
      <c r="G159" s="6">
        <v>100000</v>
      </c>
      <c r="H159" s="6">
        <v>101.62</v>
      </c>
      <c r="I159" s="6">
        <v>101620</v>
      </c>
      <c r="J159" s="9">
        <v>8.0000000000000004E-4</v>
      </c>
      <c r="K159" s="9">
        <v>0</v>
      </c>
      <c r="L159" s="9">
        <v>0</v>
      </c>
      <c r="M159" s="6">
        <v>0</v>
      </c>
      <c r="N159" s="6">
        <v>150</v>
      </c>
      <c r="O159" s="9">
        <v>1.5E-3</v>
      </c>
      <c r="P159" s="9">
        <v>1.48E-3</v>
      </c>
      <c r="Q159" s="6">
        <v>0</v>
      </c>
      <c r="R159" s="9">
        <v>0</v>
      </c>
      <c r="S159" s="4" t="s">
        <v>58</v>
      </c>
    </row>
    <row r="160" spans="1:19" x14ac:dyDescent="0.2">
      <c r="A160" s="4">
        <v>1233758</v>
      </c>
      <c r="B160" s="4" t="s">
        <v>57</v>
      </c>
      <c r="C160" s="14" t="s">
        <v>234</v>
      </c>
      <c r="D160" s="6">
        <v>100000</v>
      </c>
      <c r="E160" s="6">
        <v>103.31</v>
      </c>
      <c r="F160" s="6">
        <v>103310</v>
      </c>
      <c r="G160" s="6">
        <v>100000</v>
      </c>
      <c r="H160" s="6">
        <v>103.31</v>
      </c>
      <c r="I160" s="6">
        <v>103310</v>
      </c>
      <c r="J160" s="9">
        <v>8.0000000000000004E-4</v>
      </c>
      <c r="K160" s="9">
        <v>0</v>
      </c>
      <c r="L160" s="9">
        <v>0</v>
      </c>
      <c r="M160" s="6">
        <v>0</v>
      </c>
      <c r="N160" s="6">
        <v>0</v>
      </c>
      <c r="O160" s="9">
        <v>0</v>
      </c>
      <c r="P160" s="9">
        <v>0</v>
      </c>
      <c r="Q160" s="6">
        <v>0</v>
      </c>
      <c r="R160" s="9">
        <v>0</v>
      </c>
      <c r="S160" s="4" t="s">
        <v>58</v>
      </c>
    </row>
    <row r="161" spans="1:19" x14ac:dyDescent="0.2">
      <c r="A161" s="4">
        <v>2590248</v>
      </c>
      <c r="B161" s="4" t="s">
        <v>57</v>
      </c>
      <c r="C161" s="14" t="s">
        <v>235</v>
      </c>
      <c r="D161" s="6">
        <v>917025</v>
      </c>
      <c r="E161" s="6">
        <v>103.5</v>
      </c>
      <c r="F161" s="6">
        <v>949120.88</v>
      </c>
      <c r="G161" s="6">
        <v>917025</v>
      </c>
      <c r="H161" s="6">
        <v>102.1</v>
      </c>
      <c r="I161" s="6">
        <v>936282.53</v>
      </c>
      <c r="J161" s="9">
        <v>7.4999999999999997E-3</v>
      </c>
      <c r="K161" s="9">
        <v>0</v>
      </c>
      <c r="L161" s="9">
        <v>0</v>
      </c>
      <c r="M161" s="6">
        <v>0</v>
      </c>
      <c r="N161" s="6">
        <v>-12838.35</v>
      </c>
      <c r="O161" s="9">
        <v>-1.35E-2</v>
      </c>
      <c r="P161" s="9">
        <v>-1.353E-2</v>
      </c>
      <c r="Q161" s="6">
        <v>0</v>
      </c>
      <c r="R161" s="9">
        <v>0</v>
      </c>
      <c r="S161" s="4" t="s">
        <v>58</v>
      </c>
    </row>
    <row r="162" spans="1:19" x14ac:dyDescent="0.2">
      <c r="A162" s="4">
        <v>2590511</v>
      </c>
      <c r="B162" s="4" t="s">
        <v>57</v>
      </c>
      <c r="C162" s="14" t="s">
        <v>236</v>
      </c>
      <c r="D162" s="6">
        <v>242983.67999999999</v>
      </c>
      <c r="E162" s="6">
        <v>97.67</v>
      </c>
      <c r="F162" s="6">
        <v>237322.16</v>
      </c>
      <c r="G162" s="6">
        <v>242983.67999999999</v>
      </c>
      <c r="H162" s="6">
        <v>97.54</v>
      </c>
      <c r="I162" s="6">
        <v>237006.28</v>
      </c>
      <c r="J162" s="9">
        <v>1.9E-3</v>
      </c>
      <c r="K162" s="9">
        <v>0</v>
      </c>
      <c r="L162" s="9">
        <v>0</v>
      </c>
      <c r="M162" s="6">
        <v>0</v>
      </c>
      <c r="N162" s="6">
        <v>-315.87880000000001</v>
      </c>
      <c r="O162" s="9">
        <v>-1.2999999999999999E-3</v>
      </c>
      <c r="P162" s="9">
        <v>-1.33E-3</v>
      </c>
      <c r="Q162" s="6">
        <v>0</v>
      </c>
      <c r="R162" s="9">
        <v>0</v>
      </c>
      <c r="S162" s="4" t="s">
        <v>58</v>
      </c>
    </row>
    <row r="163" spans="1:19" x14ac:dyDescent="0.2">
      <c r="A163" s="4">
        <v>5310305</v>
      </c>
      <c r="B163" s="4" t="s">
        <v>57</v>
      </c>
      <c r="C163" s="14" t="s">
        <v>237</v>
      </c>
      <c r="D163" s="6">
        <v>38634.75</v>
      </c>
      <c r="E163" s="6">
        <v>99.75</v>
      </c>
      <c r="F163" s="6">
        <v>38538.160000000003</v>
      </c>
      <c r="G163" s="6">
        <v>38634.75</v>
      </c>
      <c r="H163" s="6">
        <v>99.53</v>
      </c>
      <c r="I163" s="6">
        <v>38453.17</v>
      </c>
      <c r="J163" s="9">
        <v>2.9999999999999997E-4</v>
      </c>
      <c r="K163" s="9">
        <v>0</v>
      </c>
      <c r="L163" s="9">
        <v>0</v>
      </c>
      <c r="M163" s="6">
        <v>0</v>
      </c>
      <c r="N163" s="6">
        <v>-84.996499999999997</v>
      </c>
      <c r="O163" s="9">
        <v>-2.2000000000000001E-3</v>
      </c>
      <c r="P163" s="9">
        <v>-2.2100000000000002E-3</v>
      </c>
      <c r="Q163" s="6">
        <v>0</v>
      </c>
      <c r="R163" s="9">
        <v>0</v>
      </c>
      <c r="S163" s="4" t="s">
        <v>58</v>
      </c>
    </row>
    <row r="164" spans="1:19" x14ac:dyDescent="0.2">
      <c r="A164" s="4">
        <v>6000285</v>
      </c>
      <c r="B164" s="4" t="s">
        <v>57</v>
      </c>
      <c r="C164" s="14" t="s">
        <v>238</v>
      </c>
      <c r="D164" s="6">
        <v>297388</v>
      </c>
      <c r="E164" s="6">
        <v>119.21</v>
      </c>
      <c r="F164" s="6">
        <v>354516.23</v>
      </c>
      <c r="G164" s="6">
        <v>297388</v>
      </c>
      <c r="H164" s="6">
        <v>119.01</v>
      </c>
      <c r="I164" s="6">
        <v>353921.46</v>
      </c>
      <c r="J164" s="9">
        <v>2.8E-3</v>
      </c>
      <c r="K164" s="9">
        <v>0</v>
      </c>
      <c r="L164" s="9">
        <v>0</v>
      </c>
      <c r="M164" s="6">
        <v>0</v>
      </c>
      <c r="N164" s="6">
        <v>-594.77599999999995</v>
      </c>
      <c r="O164" s="9">
        <v>-1.6999999999999999E-3</v>
      </c>
      <c r="P164" s="9">
        <v>-1.6800000000000001E-3</v>
      </c>
      <c r="Q164" s="6">
        <v>0</v>
      </c>
      <c r="R164" s="9">
        <v>0</v>
      </c>
      <c r="S164" s="4" t="s">
        <v>58</v>
      </c>
    </row>
    <row r="165" spans="1:19" x14ac:dyDescent="0.2">
      <c r="A165" s="4">
        <v>6270193</v>
      </c>
      <c r="B165" s="4" t="s">
        <v>57</v>
      </c>
      <c r="C165" s="14" t="s">
        <v>239</v>
      </c>
      <c r="D165" s="6">
        <v>150000</v>
      </c>
      <c r="E165" s="6">
        <v>85.22</v>
      </c>
      <c r="F165" s="6">
        <v>127830</v>
      </c>
      <c r="G165" s="6">
        <v>150000</v>
      </c>
      <c r="H165" s="6">
        <v>85.59</v>
      </c>
      <c r="I165" s="6">
        <v>128385</v>
      </c>
      <c r="J165" s="9">
        <v>1E-3</v>
      </c>
      <c r="K165" s="9">
        <v>0</v>
      </c>
      <c r="L165" s="9">
        <v>0</v>
      </c>
      <c r="M165" s="6">
        <v>0</v>
      </c>
      <c r="N165" s="6">
        <v>555</v>
      </c>
      <c r="O165" s="9">
        <v>4.3E-3</v>
      </c>
      <c r="P165" s="9">
        <v>4.3400000000000001E-3</v>
      </c>
      <c r="Q165" s="6">
        <v>0</v>
      </c>
      <c r="R165" s="9">
        <v>0</v>
      </c>
      <c r="S165" s="4" t="s">
        <v>58</v>
      </c>
    </row>
    <row r="166" spans="1:19" x14ac:dyDescent="0.2">
      <c r="A166" s="4">
        <v>7200173</v>
      </c>
      <c r="B166" s="4" t="s">
        <v>57</v>
      </c>
      <c r="C166" s="14" t="s">
        <v>240</v>
      </c>
      <c r="D166" s="6">
        <v>112427.21</v>
      </c>
      <c r="E166" s="6">
        <v>99.24</v>
      </c>
      <c r="F166" s="6">
        <v>111572.76</v>
      </c>
      <c r="G166" s="6">
        <v>112427.21</v>
      </c>
      <c r="H166" s="6">
        <v>99.27</v>
      </c>
      <c r="I166" s="6">
        <v>111606.49</v>
      </c>
      <c r="J166" s="9">
        <v>8.9999999999999998E-4</v>
      </c>
      <c r="K166" s="9">
        <v>0</v>
      </c>
      <c r="L166" s="9">
        <v>0</v>
      </c>
      <c r="M166" s="6">
        <v>0</v>
      </c>
      <c r="N166" s="6">
        <v>33.728200000000001</v>
      </c>
      <c r="O166" s="9">
        <v>2.9999999999999997E-4</v>
      </c>
      <c r="P166" s="9">
        <v>2.9999999999999997E-4</v>
      </c>
      <c r="Q166" s="6">
        <v>0</v>
      </c>
      <c r="R166" s="9">
        <v>0</v>
      </c>
      <c r="S166" s="4" t="s">
        <v>58</v>
      </c>
    </row>
    <row r="167" spans="1:19" x14ac:dyDescent="0.2">
      <c r="A167" s="4">
        <v>7200256</v>
      </c>
      <c r="B167" s="4" t="s">
        <v>57</v>
      </c>
      <c r="C167" s="14" t="s">
        <v>241</v>
      </c>
      <c r="D167" s="6">
        <v>355810</v>
      </c>
      <c r="E167" s="6">
        <v>93.14</v>
      </c>
      <c r="F167" s="6">
        <v>331401.43</v>
      </c>
      <c r="G167" s="6">
        <v>355810</v>
      </c>
      <c r="H167" s="6">
        <v>93.08</v>
      </c>
      <c r="I167" s="6">
        <v>331187.95</v>
      </c>
      <c r="J167" s="9">
        <v>2.7000000000000001E-3</v>
      </c>
      <c r="K167" s="9">
        <v>0</v>
      </c>
      <c r="L167" s="9">
        <v>0</v>
      </c>
      <c r="M167" s="6">
        <v>0</v>
      </c>
      <c r="N167" s="6">
        <v>-213.48599999999999</v>
      </c>
      <c r="O167" s="9">
        <v>-5.9999999999999995E-4</v>
      </c>
      <c r="P167" s="9">
        <v>-6.4000000000000005E-4</v>
      </c>
      <c r="Q167" s="6">
        <v>0</v>
      </c>
      <c r="R167" s="9">
        <v>0</v>
      </c>
      <c r="S167" s="4" t="s">
        <v>58</v>
      </c>
    </row>
    <row r="168" spans="1:19" x14ac:dyDescent="0.2">
      <c r="A168" s="4">
        <v>7670250</v>
      </c>
      <c r="B168" s="4" t="s">
        <v>57</v>
      </c>
      <c r="C168" s="14" t="s">
        <v>242</v>
      </c>
      <c r="D168" s="6">
        <v>191278.75</v>
      </c>
      <c r="E168" s="6">
        <v>101.49</v>
      </c>
      <c r="F168" s="6">
        <v>194128.8</v>
      </c>
      <c r="G168" s="6">
        <v>191278.75</v>
      </c>
      <c r="H168" s="6">
        <v>101.52</v>
      </c>
      <c r="I168" s="6">
        <v>194186.19</v>
      </c>
      <c r="J168" s="9">
        <v>1.6000000000000001E-3</v>
      </c>
      <c r="K168" s="9">
        <v>0</v>
      </c>
      <c r="L168" s="9">
        <v>0</v>
      </c>
      <c r="M168" s="6">
        <v>0</v>
      </c>
      <c r="N168" s="6">
        <v>57.383600000000001</v>
      </c>
      <c r="O168" s="9">
        <v>2.9999999999999997E-4</v>
      </c>
      <c r="P168" s="9">
        <v>2.9999999999999997E-4</v>
      </c>
      <c r="Q168" s="6">
        <v>0</v>
      </c>
      <c r="R168" s="9">
        <v>0</v>
      </c>
      <c r="S168" s="4" t="s">
        <v>58</v>
      </c>
    </row>
    <row r="169" spans="1:19" x14ac:dyDescent="0.2">
      <c r="A169" s="4">
        <v>7710262</v>
      </c>
      <c r="B169" s="4" t="s">
        <v>57</v>
      </c>
      <c r="C169" s="14" t="s">
        <v>243</v>
      </c>
      <c r="D169" s="6">
        <v>2209715.0699999998</v>
      </c>
      <c r="E169" s="6">
        <v>97.87</v>
      </c>
      <c r="F169" s="6">
        <v>2162648.14</v>
      </c>
      <c r="G169" s="6">
        <v>2209715.0699999998</v>
      </c>
      <c r="H169" s="6">
        <v>97.88</v>
      </c>
      <c r="I169" s="6">
        <v>2162869.11</v>
      </c>
      <c r="J169" s="9">
        <v>1.7399999999999999E-2</v>
      </c>
      <c r="K169" s="9">
        <v>0</v>
      </c>
      <c r="L169" s="9">
        <v>0</v>
      </c>
      <c r="M169" s="6">
        <v>0</v>
      </c>
      <c r="N169" s="6">
        <v>220.97149999999999</v>
      </c>
      <c r="O169" s="9">
        <v>1E-4</v>
      </c>
      <c r="P169" s="9">
        <v>1E-4</v>
      </c>
      <c r="Q169" s="6">
        <v>0</v>
      </c>
      <c r="R169" s="9">
        <v>0</v>
      </c>
      <c r="S169" s="4" t="s">
        <v>58</v>
      </c>
    </row>
    <row r="170" spans="1:19" x14ac:dyDescent="0.2">
      <c r="A170" s="4">
        <v>7710296</v>
      </c>
      <c r="B170" s="4" t="s">
        <v>57</v>
      </c>
      <c r="C170" s="14" t="s">
        <v>244</v>
      </c>
      <c r="D170" s="6">
        <v>154716.34</v>
      </c>
      <c r="E170" s="6">
        <v>98.74</v>
      </c>
      <c r="F170" s="6">
        <v>152766.91</v>
      </c>
      <c r="G170" s="6">
        <v>154716.34</v>
      </c>
      <c r="H170" s="6">
        <v>99.18</v>
      </c>
      <c r="I170" s="6">
        <v>153447.67000000001</v>
      </c>
      <c r="J170" s="9">
        <v>1.1999999999999999E-3</v>
      </c>
      <c r="K170" s="9">
        <v>0</v>
      </c>
      <c r="L170" s="9">
        <v>0</v>
      </c>
      <c r="M170" s="6">
        <v>0</v>
      </c>
      <c r="N170" s="6">
        <v>680.75189999999998</v>
      </c>
      <c r="O170" s="9">
        <v>4.4999999999999997E-3</v>
      </c>
      <c r="P170" s="9">
        <v>4.4600000000000004E-3</v>
      </c>
      <c r="Q170" s="6">
        <v>0</v>
      </c>
      <c r="R170" s="9">
        <v>0</v>
      </c>
      <c r="S170" s="4" t="s">
        <v>58</v>
      </c>
    </row>
    <row r="171" spans="1:19" x14ac:dyDescent="0.2">
      <c r="A171" s="4">
        <v>71048847</v>
      </c>
      <c r="B171" s="4" t="s">
        <v>59</v>
      </c>
      <c r="C171" s="14" t="s">
        <v>245</v>
      </c>
      <c r="D171" s="6">
        <v>18698</v>
      </c>
      <c r="E171" s="6">
        <v>48.064999999999998</v>
      </c>
      <c r="F171" s="6">
        <v>2822518.05</v>
      </c>
      <c r="G171" s="6">
        <v>18698</v>
      </c>
      <c r="H171" s="6">
        <v>48</v>
      </c>
      <c r="I171" s="6">
        <v>2820226.82</v>
      </c>
      <c r="J171" s="9">
        <v>2.2599999999999999E-2</v>
      </c>
      <c r="K171" s="9">
        <v>0</v>
      </c>
      <c r="L171" s="9">
        <v>0</v>
      </c>
      <c r="M171" s="6">
        <v>0</v>
      </c>
      <c r="N171" s="6">
        <v>-2291.2341999999999</v>
      </c>
      <c r="O171" s="9">
        <v>-8.0000000000000004E-4</v>
      </c>
      <c r="P171" s="9">
        <v>-1.3500000000000001E-3</v>
      </c>
      <c r="Q171" s="6">
        <v>0</v>
      </c>
      <c r="R171" s="9">
        <v>0</v>
      </c>
      <c r="S171" s="4" t="s">
        <v>58</v>
      </c>
    </row>
    <row r="172" spans="1:19" x14ac:dyDescent="0.2">
      <c r="A172" s="4">
        <v>71270151</v>
      </c>
      <c r="B172" s="4" t="s">
        <v>59</v>
      </c>
      <c r="C172" s="14" t="s">
        <v>246</v>
      </c>
      <c r="D172" s="6">
        <v>1000</v>
      </c>
      <c r="E172" s="6">
        <v>1.48</v>
      </c>
      <c r="F172" s="6">
        <v>4648.09</v>
      </c>
      <c r="G172" s="6">
        <v>1000</v>
      </c>
      <c r="H172" s="6">
        <v>1.37</v>
      </c>
      <c r="I172" s="6">
        <v>4304.95</v>
      </c>
      <c r="J172" s="9">
        <v>0</v>
      </c>
      <c r="K172" s="9">
        <v>0</v>
      </c>
      <c r="L172" s="9">
        <v>0</v>
      </c>
      <c r="M172" s="6">
        <v>0</v>
      </c>
      <c r="N172" s="6">
        <v>-343.137</v>
      </c>
      <c r="O172" s="9">
        <v>-7.3800000000000004E-2</v>
      </c>
      <c r="P172" s="9">
        <v>-7.4319999999999997E-2</v>
      </c>
      <c r="Q172" s="6">
        <v>0</v>
      </c>
      <c r="R172" s="9">
        <v>0</v>
      </c>
      <c r="S172" s="4" t="s">
        <v>58</v>
      </c>
    </row>
    <row r="173" spans="1:19" x14ac:dyDescent="0.2">
      <c r="A173" s="4">
        <v>72566748</v>
      </c>
      <c r="B173" s="4" t="s">
        <v>59</v>
      </c>
      <c r="C173" s="14" t="s">
        <v>247</v>
      </c>
      <c r="D173" s="6">
        <v>19080</v>
      </c>
      <c r="E173" s="6">
        <v>14.05</v>
      </c>
      <c r="F173" s="6">
        <v>841913.2</v>
      </c>
      <c r="G173" s="6">
        <v>19080</v>
      </c>
      <c r="H173" s="6">
        <v>13.75</v>
      </c>
      <c r="I173" s="6">
        <v>824382.41</v>
      </c>
      <c r="J173" s="9">
        <v>6.6E-3</v>
      </c>
      <c r="K173" s="9">
        <v>0</v>
      </c>
      <c r="L173" s="9">
        <v>0</v>
      </c>
      <c r="M173" s="6">
        <v>0</v>
      </c>
      <c r="N173" s="6">
        <v>-17530.7994</v>
      </c>
      <c r="O173" s="9">
        <v>-2.0799999999999999E-2</v>
      </c>
      <c r="P173" s="9">
        <v>-2.1350000000000001E-2</v>
      </c>
      <c r="Q173" s="6">
        <v>0</v>
      </c>
      <c r="R173" s="9">
        <v>0</v>
      </c>
      <c r="S173" s="4" t="s">
        <v>58</v>
      </c>
    </row>
    <row r="174" spans="1:19" x14ac:dyDescent="0.2">
      <c r="A174" s="4">
        <v>72813280</v>
      </c>
      <c r="B174" s="4" t="s">
        <v>59</v>
      </c>
      <c r="C174" s="14" t="s">
        <v>248</v>
      </c>
      <c r="D174" s="6">
        <v>14000</v>
      </c>
      <c r="E174" s="6">
        <v>28.86</v>
      </c>
      <c r="F174" s="6">
        <v>1268928.02</v>
      </c>
      <c r="G174" s="6">
        <v>14000</v>
      </c>
      <c r="H174" s="6">
        <v>28.83</v>
      </c>
      <c r="I174" s="6">
        <v>1268295.1299999999</v>
      </c>
      <c r="J174" s="9">
        <v>1.0200000000000001E-2</v>
      </c>
      <c r="K174" s="9">
        <v>0</v>
      </c>
      <c r="L174" s="9">
        <v>0</v>
      </c>
      <c r="M174" s="6">
        <v>0</v>
      </c>
      <c r="N174" s="6">
        <v>-632.89800000000002</v>
      </c>
      <c r="O174" s="9">
        <v>-5.0000000000000001E-4</v>
      </c>
      <c r="P174" s="9">
        <v>-1.0399999999999999E-3</v>
      </c>
      <c r="Q174" s="6">
        <v>0</v>
      </c>
      <c r="R174" s="9">
        <v>0</v>
      </c>
      <c r="S174" s="4" t="s">
        <v>58</v>
      </c>
    </row>
    <row r="175" spans="1:19" x14ac:dyDescent="0.2">
      <c r="A175" s="4">
        <v>72892698</v>
      </c>
      <c r="B175" s="4" t="s">
        <v>59</v>
      </c>
      <c r="C175" s="14" t="s">
        <v>249</v>
      </c>
      <c r="D175" s="6">
        <v>510</v>
      </c>
      <c r="E175" s="6">
        <v>75.599999999999994</v>
      </c>
      <c r="F175" s="6">
        <v>121088.97</v>
      </c>
      <c r="G175" s="6">
        <v>510</v>
      </c>
      <c r="H175" s="6">
        <v>72.64</v>
      </c>
      <c r="I175" s="6">
        <v>116410.9</v>
      </c>
      <c r="J175" s="9">
        <v>8.9999999999999998E-4</v>
      </c>
      <c r="K175" s="9">
        <v>0</v>
      </c>
      <c r="L175" s="9">
        <v>0</v>
      </c>
      <c r="M175" s="6">
        <v>0</v>
      </c>
      <c r="N175" s="6">
        <v>-4678.0708999999997</v>
      </c>
      <c r="O175" s="9">
        <v>-3.8600000000000002E-2</v>
      </c>
      <c r="P175" s="9">
        <v>-3.9149999999999997E-2</v>
      </c>
      <c r="Q175" s="6">
        <v>0</v>
      </c>
      <c r="R175" s="9">
        <v>0</v>
      </c>
      <c r="S175" s="4" t="s">
        <v>58</v>
      </c>
    </row>
    <row r="176" spans="1:19" x14ac:dyDescent="0.2">
      <c r="A176" s="4">
        <v>73839953</v>
      </c>
      <c r="B176" s="4" t="s">
        <v>59</v>
      </c>
      <c r="C176" s="14" t="s">
        <v>250</v>
      </c>
      <c r="D176" s="6">
        <v>16325</v>
      </c>
      <c r="E176" s="6">
        <v>4.25</v>
      </c>
      <c r="F176" s="6">
        <v>217898.75</v>
      </c>
      <c r="G176" s="6">
        <v>16325</v>
      </c>
      <c r="H176" s="6">
        <v>3.7</v>
      </c>
      <c r="I176" s="6">
        <v>189802.78</v>
      </c>
      <c r="J176" s="9">
        <v>1.5E-3</v>
      </c>
      <c r="K176" s="9">
        <v>0</v>
      </c>
      <c r="L176" s="9">
        <v>0</v>
      </c>
      <c r="M176" s="6">
        <v>0</v>
      </c>
      <c r="N176" s="6">
        <v>-28095.977999999999</v>
      </c>
      <c r="O176" s="9">
        <v>-0.12889999999999999</v>
      </c>
      <c r="P176" s="9">
        <v>-0.12941</v>
      </c>
      <c r="Q176" s="6">
        <v>0</v>
      </c>
      <c r="R176" s="9">
        <v>0</v>
      </c>
      <c r="S176" s="4" t="s">
        <v>58</v>
      </c>
    </row>
    <row r="178" spans="13:14" ht="15.75" thickBot="1" x14ac:dyDescent="0.3">
      <c r="M178" s="17" t="s">
        <v>254</v>
      </c>
      <c r="N178" s="18">
        <f>SUM(N2:N177)</f>
        <v>611878.7989000004</v>
      </c>
    </row>
    <row r="179" spans="13:14" ht="15" thickTop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rightToLeft="1" workbookViewId="0">
      <selection activeCell="O9" activeCellId="1" sqref="H2 O9:O10"/>
    </sheetView>
  </sheetViews>
  <sheetFormatPr defaultRowHeight="14.25" x14ac:dyDescent="0.2"/>
  <cols>
    <col min="1" max="1" width="9.375" bestFit="1" customWidth="1"/>
    <col min="2" max="2" width="9.875" bestFit="1" customWidth="1"/>
    <col min="3" max="3" width="15.875" bestFit="1" customWidth="1"/>
    <col min="4" max="4" width="14.75" bestFit="1" customWidth="1"/>
    <col min="5" max="5" width="9.875" bestFit="1" customWidth="1"/>
    <col min="6" max="6" width="15.875" bestFit="1" customWidth="1"/>
    <col min="7" max="7" width="14.75" bestFit="1" customWidth="1"/>
    <col min="8" max="8" width="10.125" bestFit="1" customWidth="1"/>
    <col min="9" max="9" width="10.625" bestFit="1" customWidth="1"/>
    <col min="10" max="10" width="6" bestFit="1" customWidth="1"/>
    <col min="11" max="11" width="9.75" bestFit="1" customWidth="1"/>
    <col min="12" max="12" width="6.625" bestFit="1" customWidth="1"/>
  </cols>
  <sheetData>
    <row r="1" spans="1:15" ht="15" x14ac:dyDescent="0.25">
      <c r="A1" s="1" t="s">
        <v>51</v>
      </c>
      <c r="B1" s="3" t="s">
        <v>12</v>
      </c>
      <c r="C1" s="3" t="s">
        <v>52</v>
      </c>
      <c r="D1" s="10" t="s">
        <v>13</v>
      </c>
      <c r="E1" s="3" t="s">
        <v>14</v>
      </c>
      <c r="F1" s="3" t="s">
        <v>53</v>
      </c>
      <c r="G1" s="10" t="s">
        <v>15</v>
      </c>
      <c r="H1" s="3" t="s">
        <v>16</v>
      </c>
      <c r="I1" s="3" t="s">
        <v>54</v>
      </c>
      <c r="J1" s="10" t="s">
        <v>55</v>
      </c>
      <c r="K1" s="10" t="s">
        <v>18</v>
      </c>
      <c r="L1" s="1" t="s">
        <v>56</v>
      </c>
    </row>
    <row r="2" spans="1:15" x14ac:dyDescent="0.2">
      <c r="A2" s="4" t="s">
        <v>57</v>
      </c>
      <c r="B2" s="6">
        <v>758924.26</v>
      </c>
      <c r="C2" s="6">
        <v>758924.26</v>
      </c>
      <c r="D2" s="9">
        <v>6.0899999999999999E-3</v>
      </c>
      <c r="E2" s="6">
        <v>758482.45</v>
      </c>
      <c r="F2" s="6">
        <v>758482.45</v>
      </c>
      <c r="G2" s="9">
        <v>6.0899999999999999E-3</v>
      </c>
      <c r="H2" s="6">
        <v>-441.81</v>
      </c>
      <c r="I2" s="6">
        <v>-441.81</v>
      </c>
      <c r="J2" s="9">
        <v>0</v>
      </c>
      <c r="K2" s="9">
        <v>0</v>
      </c>
      <c r="L2" s="4" t="s">
        <v>58</v>
      </c>
    </row>
    <row r="3" spans="1:15" x14ac:dyDescent="0.2">
      <c r="A3" s="4" t="s">
        <v>59</v>
      </c>
      <c r="B3" s="6">
        <v>701.2</v>
      </c>
      <c r="C3" s="6">
        <v>2202.1887000000002</v>
      </c>
      <c r="D3" s="9">
        <v>2.0000000000000002E-5</v>
      </c>
      <c r="E3" s="6">
        <v>701.2</v>
      </c>
      <c r="F3" s="6">
        <v>2203.3807999999999</v>
      </c>
      <c r="G3" s="9">
        <v>2.0000000000000002E-5</v>
      </c>
      <c r="H3" s="6">
        <v>1.1920999999999999</v>
      </c>
      <c r="I3" s="6">
        <v>0</v>
      </c>
      <c r="J3" s="9">
        <v>0</v>
      </c>
      <c r="K3" s="9">
        <v>0</v>
      </c>
      <c r="L3" s="4" t="s">
        <v>58</v>
      </c>
    </row>
    <row r="8" spans="1:15" x14ac:dyDescent="0.2">
      <c r="A8" s="19" t="s">
        <v>256</v>
      </c>
      <c r="B8" s="19" t="s">
        <v>257</v>
      </c>
      <c r="C8" s="19" t="s">
        <v>258</v>
      </c>
      <c r="D8" s="19" t="s">
        <v>259</v>
      </c>
      <c r="E8" s="19" t="s">
        <v>260</v>
      </c>
      <c r="F8" s="19" t="s">
        <v>261</v>
      </c>
      <c r="G8" s="19" t="s">
        <v>51</v>
      </c>
      <c r="H8" s="19" t="s">
        <v>262</v>
      </c>
      <c r="I8" s="19" t="s">
        <v>263</v>
      </c>
      <c r="J8" s="19" t="s">
        <v>264</v>
      </c>
      <c r="K8" s="19" t="s">
        <v>265</v>
      </c>
      <c r="L8" s="19" t="s">
        <v>266</v>
      </c>
      <c r="M8" s="19" t="s">
        <v>267</v>
      </c>
      <c r="N8" s="19" t="s">
        <v>268</v>
      </c>
      <c r="O8" s="19" t="s">
        <v>269</v>
      </c>
    </row>
    <row r="9" spans="1:15" x14ac:dyDescent="0.2">
      <c r="A9" s="20">
        <v>929951</v>
      </c>
      <c r="B9" s="21" t="s">
        <v>270</v>
      </c>
      <c r="C9" s="22">
        <v>105</v>
      </c>
      <c r="D9" s="23">
        <v>46082</v>
      </c>
      <c r="E9" s="23">
        <v>46082</v>
      </c>
      <c r="F9" s="24">
        <v>0</v>
      </c>
      <c r="G9" s="21" t="s">
        <v>271</v>
      </c>
      <c r="H9" s="21" t="s">
        <v>272</v>
      </c>
      <c r="I9" s="24">
        <v>105038</v>
      </c>
      <c r="J9" s="21" t="s">
        <v>273</v>
      </c>
      <c r="K9" s="24">
        <v>425</v>
      </c>
      <c r="L9" s="24">
        <v>0</v>
      </c>
      <c r="M9" s="24">
        <v>13000</v>
      </c>
      <c r="N9" s="21" t="s">
        <v>274</v>
      </c>
      <c r="O9" s="25">
        <v>522.48</v>
      </c>
    </row>
    <row r="10" spans="1:15" x14ac:dyDescent="0.2">
      <c r="A10" s="20">
        <v>929951</v>
      </c>
      <c r="B10" s="21" t="s">
        <v>270</v>
      </c>
      <c r="C10" s="22">
        <v>105</v>
      </c>
      <c r="D10" s="23">
        <v>46082</v>
      </c>
      <c r="E10" s="23">
        <v>46082</v>
      </c>
      <c r="F10" s="24">
        <v>0</v>
      </c>
      <c r="G10" s="21" t="s">
        <v>271</v>
      </c>
      <c r="H10" s="21" t="s">
        <v>272</v>
      </c>
      <c r="I10" s="24">
        <v>105038</v>
      </c>
      <c r="J10" s="21" t="s">
        <v>273</v>
      </c>
      <c r="K10" s="24">
        <v>475</v>
      </c>
      <c r="L10" s="24">
        <v>0</v>
      </c>
      <c r="M10" s="24">
        <v>13000</v>
      </c>
      <c r="N10" s="21" t="s">
        <v>275</v>
      </c>
      <c r="O10" s="25">
        <v>-12.46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rightToLeft="1" workbookViewId="0"/>
  </sheetViews>
  <sheetFormatPr defaultRowHeight="14.25" x14ac:dyDescent="0.2"/>
  <cols>
    <col min="1" max="1" width="5.25" bestFit="1" customWidth="1"/>
    <col min="3" max="3" width="15.875" bestFit="1" customWidth="1"/>
    <col min="4" max="4" width="14.75" bestFit="1" customWidth="1"/>
    <col min="6" max="6" width="15.875" bestFit="1" customWidth="1"/>
    <col min="7" max="7" width="14.75" bestFit="1" customWidth="1"/>
    <col min="8" max="8" width="10.125" bestFit="1" customWidth="1"/>
    <col min="9" max="9" width="10.625" bestFit="1" customWidth="1"/>
    <col min="10" max="10" width="6.625" bestFit="1" customWidth="1"/>
    <col min="11" max="11" width="9.75" bestFit="1" customWidth="1"/>
    <col min="12" max="12" width="6.625" bestFit="1" customWidth="1"/>
  </cols>
  <sheetData>
    <row r="1" spans="1:12" ht="15" x14ac:dyDescent="0.25">
      <c r="A1" s="1" t="s">
        <v>51</v>
      </c>
      <c r="B1" s="3" t="s">
        <v>12</v>
      </c>
      <c r="C1" s="3" t="s">
        <v>52</v>
      </c>
      <c r="D1" s="10" t="s">
        <v>13</v>
      </c>
      <c r="E1" s="3" t="s">
        <v>14</v>
      </c>
      <c r="F1" s="3" t="s">
        <v>53</v>
      </c>
      <c r="G1" s="10" t="s">
        <v>15</v>
      </c>
      <c r="H1" s="3" t="s">
        <v>16</v>
      </c>
      <c r="I1" s="3" t="s">
        <v>54</v>
      </c>
      <c r="J1" s="10" t="s">
        <v>55</v>
      </c>
      <c r="K1" s="10" t="s">
        <v>18</v>
      </c>
      <c r="L1" s="1" t="s">
        <v>56</v>
      </c>
    </row>
    <row r="2" spans="1:12" x14ac:dyDescent="0.2">
      <c r="A2" s="4" t="s">
        <v>57</v>
      </c>
      <c r="B2" s="6">
        <v>32827.32</v>
      </c>
      <c r="C2" s="6">
        <v>32827.32</v>
      </c>
      <c r="D2" s="9">
        <v>2.5999999999999998E-4</v>
      </c>
      <c r="E2" s="6">
        <v>22369.74</v>
      </c>
      <c r="F2" s="6">
        <v>22369.74</v>
      </c>
      <c r="G2" s="9">
        <v>1.8000000000000001E-4</v>
      </c>
      <c r="H2" s="6">
        <v>-10457.58</v>
      </c>
      <c r="I2" s="6">
        <v>-10457.58</v>
      </c>
      <c r="J2" s="9">
        <v>-8.2999999999999998E-5</v>
      </c>
      <c r="K2" s="9">
        <v>-0.31856000000000001</v>
      </c>
      <c r="L2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כללי</vt:lpstr>
      <vt:lpstr>עו"ש</vt:lpstr>
      <vt:lpstr>ניירות ערך</vt:lpstr>
      <vt:lpstr>סך הכנסות לקבל</vt:lpstr>
      <vt:lpstr>נכסים אחרים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2026-03-26T12:09:05Z</dcterms:created>
  <dcterms:modified xsi:type="dcterms:W3CDTF">2026-03-26T12:14:33Z</dcterms:modified>
</cp:coreProperties>
</file>